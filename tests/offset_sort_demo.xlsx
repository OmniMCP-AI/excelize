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<sst xmlns="http://schemas.openxmlformats.org/spreadsheetml/2006/main" count="58" uniqueCount="58">
  <si>
    <t>OFFSET Function Examples</t>
  </si>
  <si>
    <t>Quarterly Sales Data:</t>
  </si>
  <si>
    <t>Product</t>
  </si>
  <si>
    <t>Q1</t>
  </si>
  <si>
    <t>Q2</t>
  </si>
  <si>
    <t>Q3</t>
  </si>
  <si>
    <t>Q4</t>
  </si>
  <si>
    <t>Product A</t>
  </si>
  <si>
    <t>Product B</t>
  </si>
  <si>
    <t>Product C</t>
  </si>
  <si>
    <t>Product D</t>
  </si>
  <si>
    <t>OFFSET Examples:</t>
  </si>
  <si>
    <t>Get B6 value:</t>
  </si>
  <si>
    <t>Offset to C7:</t>
  </si>
  <si>
    <t>Sum Q1 sales:</t>
  </si>
  <si>
    <t>Avg all quarters:</t>
  </si>
  <si>
    <t>Max Q4 sales:</t>
  </si>
  <si>
    <t>Product B total:</t>
  </si>
  <si>
    <t>Dynamic range (B6:C8):</t>
  </si>
  <si>
    <t>SORT Function Examples</t>
  </si>
  <si>
    <t>Student Test Scores:</t>
  </si>
  <si>
    <t>Name</t>
  </si>
  <si>
    <t>Math</t>
  </si>
  <si>
    <t>Science</t>
  </si>
  <si>
    <t>English</t>
  </si>
  <si>
    <t>Alice</t>
  </si>
  <si>
    <t>Bob</t>
  </si>
  <si>
    <t>Charlie</t>
  </si>
  <si>
    <t>David</t>
  </si>
  <si>
    <t>Eve</t>
  </si>
  <si>
    <t>SORT Examples:</t>
  </si>
  <si>
    <t>Lowest Math score:</t>
  </si>
  <si>
    <t>Highest Math score:</t>
  </si>
  <si>
    <t>First name alphabetically:</t>
  </si>
  <si>
    <t>Name with lowest Math:</t>
  </si>
  <si>
    <t>Name with highest Science:</t>
  </si>
  <si>
    <t>Combined OFFSET + SORT Examples</t>
  </si>
  <si>
    <t>Monthly Sales by Region:</t>
  </si>
  <si>
    <t>Region</t>
  </si>
  <si>
    <t>Jan</t>
  </si>
  <si>
    <t>Feb</t>
  </si>
  <si>
    <t>Mar</t>
  </si>
  <si>
    <t>Apr</t>
  </si>
  <si>
    <t>May</t>
  </si>
  <si>
    <t>North</t>
  </si>
  <si>
    <t>South</t>
  </si>
  <si>
    <t>East</t>
  </si>
  <si>
    <t>West</t>
  </si>
  <si>
    <t>Combined Examples:</t>
  </si>
  <si>
    <t>Lowest Jan sale:</t>
  </si>
  <si>
    <t>Highest May sale:</t>
  </si>
  <si>
    <t>Region with lowest Jan:</t>
  </si>
  <si>
    <t>Sort all Jan-Mar sales:</t>
  </si>
  <si>
    <t>Edge Cases</t>
  </si>
  <si>
    <t>Edge Cases:</t>
  </si>
  <si>
    <t>OFFSET with negative:</t>
  </si>
  <si>
    <t>SORT descending:</t>
  </si>
  <si>
    <t>Empty OFFSET result: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</si>
</sst>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sz val="14"/>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5" min="2" width="12"/>
    <col customWidth="true" max="7" min="6" width="20"/>
    <col customWidth="true" max="8" min="8" width="15"/>
  </cols>
  <sheetData>
    <row r="1">
      <c r="A1" s="1" t="s">
        <v>0</v>
      </c>
    </row>
    <row r="3">
      <c r="A3" t="s">
        <v>1</v>
      </c>
    </row>
    <row r="5">
      <c r="A5" t="s">
        <v>2</v>
      </c>
      <c r="B5" t="s">
        <v>3</v>
      </c>
      <c r="C5" t="s">
        <v>4</v>
      </c>
      <c r="D5" t="s">
        <v>5</v>
      </c>
      <c r="E5" t="s">
        <v>6</v>
      </c>
      <c r="G5" t="s">
        <v>11</v>
      </c>
    </row>
    <row r="6">
      <c r="A6" t="s">
        <v>7</v>
      </c>
      <c r="B6">
        <v>100</v>
      </c>
      <c r="C6">
        <v>150</v>
      </c>
      <c r="D6">
        <v>120</v>
      </c>
      <c r="E6">
        <v>180</v>
      </c>
      <c r="G6" t="s">
        <v>12</v>
      </c>
      <c r="H6" t="str">
        <f>=OFFSET(B6,0,0)</f>
      </c>
    </row>
    <row r="7">
      <c r="A7" t="s">
        <v>8</v>
      </c>
      <c r="B7">
        <v>200</v>
      </c>
      <c r="C7">
        <v>180</v>
      </c>
      <c r="D7">
        <v>220</v>
      </c>
      <c r="E7">
        <v>190</v>
      </c>
      <c r="G7" t="s">
        <v>13</v>
      </c>
      <c r="H7" t="str">
        <f>=OFFSET(B6,1,1)</f>
      </c>
    </row>
    <row r="8">
      <c r="A8" t="s">
        <v>9</v>
      </c>
      <c r="B8">
        <v>150</v>
      </c>
      <c r="C8">
        <v>160</v>
      </c>
      <c r="D8">
        <v>140</v>
      </c>
      <c r="E8">
        <v>170</v>
      </c>
      <c r="G8" t="s">
        <v>14</v>
      </c>
      <c r="H8" t="str">
        <f>=SUM(OFFSET(B6,0,0,4,1))</f>
      </c>
    </row>
    <row r="9">
      <c r="A9" t="s">
        <v>10</v>
      </c>
      <c r="B9">
        <v>180</v>
      </c>
      <c r="C9">
        <v>170</v>
      </c>
      <c r="D9">
        <v>190</v>
      </c>
      <c r="E9">
        <v>200</v>
      </c>
      <c r="G9" t="s">
        <v>15</v>
      </c>
      <c r="H9" t="str">
        <f>=AVERAGE(OFFSET(B6,0,0,4,4))</f>
      </c>
    </row>
    <row r="10">
      <c r="G10" t="s">
        <v>16</v>
      </c>
      <c r="H10" t="str">
        <f>=MAX(OFFSET(E6,0,0,4,1))</f>
      </c>
    </row>
    <row r="11">
      <c r="G11" t="s">
        <v>17</v>
      </c>
      <c r="H11" t="str">
        <f>=SUM(OFFSET(B7,0,0,1,4))</f>
      </c>
    </row>
    <row r="12">
      <c r="G12" t="s">
        <v>18</v>
      </c>
      <c r="H12" t="str">
        <f>=SUM(OFFSET(B6,0,0,3,2))</f>
      </c>
    </row>
    <row r="14">
      <c r="A14" s="1" t="s">
        <v>19</v>
      </c>
    </row>
    <row r="16">
      <c r="A16" t="s">
        <v>20</v>
      </c>
    </row>
    <row r="18">
      <c r="A18" t="s">
        <v>21</v>
      </c>
      <c r="B18" t="s">
        <v>22</v>
      </c>
      <c r="C18" t="s">
        <v>23</v>
      </c>
      <c r="D18" t="s">
        <v>24</v>
      </c>
      <c r="F18" t="s">
        <v>30</v>
      </c>
    </row>
    <row r="19">
      <c r="A19" t="s">
        <v>25</v>
      </c>
      <c r="B19">
        <v>85</v>
      </c>
      <c r="C19">
        <v>92</v>
      </c>
      <c r="D19">
        <v>88</v>
      </c>
      <c r="F19" t="s">
        <v>31</v>
      </c>
      <c r="G19" t="str">
        <f>=INDEX(SORT(B19:B23),1,1)</f>
      </c>
    </row>
    <row r="20">
      <c r="A20" t="s">
        <v>26</v>
      </c>
      <c r="B20">
        <v>92</v>
      </c>
      <c r="C20">
        <v>88</v>
      </c>
      <c r="D20">
        <v>85</v>
      </c>
      <c r="F20" t="s">
        <v>32</v>
      </c>
      <c r="G20" t="str">
        <f>=INDEX(SORT(B19:B23,1,-1),1,1)</f>
      </c>
    </row>
    <row r="21">
      <c r="A21" t="s">
        <v>27</v>
      </c>
      <c r="B21">
        <v>78</v>
      </c>
      <c r="C21">
        <v>85</v>
      </c>
      <c r="D21">
        <v>90</v>
      </c>
      <c r="F21" t="s">
        <v>33</v>
      </c>
      <c r="G21" t="str">
        <f>=INDEX(SORT(A19:A23),1,1)</f>
      </c>
    </row>
    <row r="22">
      <c r="A22" t="s">
        <v>28</v>
      </c>
      <c r="B22">
        <v>95</v>
      </c>
      <c r="C22">
        <v>90</v>
      </c>
      <c r="D22">
        <v>92</v>
      </c>
      <c r="F22" t="s">
        <v>34</v>
      </c>
      <c r="G22" t="str">
        <f>=INDEX(SORT(A19:B23,2),1,1)</f>
      </c>
    </row>
    <row r="23">
      <c r="A23" t="s">
        <v>29</v>
      </c>
      <c r="B23">
        <v>88</v>
      </c>
      <c r="C23">
        <v>95</v>
      </c>
      <c r="D23">
        <v>87</v>
      </c>
      <c r="F23" t="s">
        <v>35</v>
      </c>
      <c r="G23" t="str">
        <f>=INDEX(SORT(A19:C23,3,-1),1,1)</f>
      </c>
    </row>
    <row r="25">
      <c r="A25" s="1" t="s">
        <v>36</v>
      </c>
    </row>
    <row r="27">
      <c r="A27" t="s">
        <v>37</v>
      </c>
    </row>
    <row r="29">
      <c r="A29" t="s">
        <v>38</v>
      </c>
      <c r="B29" t="s">
        <v>39</v>
      </c>
      <c r="C29" t="s">
        <v>40</v>
      </c>
      <c r="D29" t="s">
        <v>41</v>
      </c>
      <c r="E29" t="s">
        <v>42</v>
      </c>
      <c r="F29" t="s">
        <v>43</v>
      </c>
      <c r="G29" t="s">
        <v>48</v>
      </c>
    </row>
    <row r="30">
      <c r="A30" t="s">
        <v>44</v>
      </c>
      <c r="B30">
        <v>100</v>
      </c>
      <c r="C30">
        <v>150</v>
      </c>
      <c r="D30">
        <v>120</v>
      </c>
      <c r="E30">
        <v>180</v>
      </c>
      <c r="F30">
        <v>160</v>
      </c>
      <c r="G30" t="s">
        <v>49</v>
      </c>
      <c r="H30" t="str">
        <f>=INDEX(SORT(OFFSET(B30,0,0,4,1)),1,1)</f>
      </c>
    </row>
    <row r="31">
      <c r="A31" t="s">
        <v>45</v>
      </c>
      <c r="B31">
        <v>200</v>
      </c>
      <c r="C31">
        <v>180</v>
      </c>
      <c r="D31">
        <v>220</v>
      </c>
      <c r="E31">
        <v>190</v>
      </c>
      <c r="F31">
        <v>210</v>
      </c>
      <c r="G31" t="s">
        <v>50</v>
      </c>
      <c r="H31" t="str">
        <f>=INDEX(SORT(OFFSET(F30,0,0,4,1),1,-1),1,1)</f>
      </c>
    </row>
    <row r="32">
      <c r="A32" t="s">
        <v>46</v>
      </c>
      <c r="B32">
        <v>150</v>
      </c>
      <c r="C32">
        <v>160</v>
      </c>
      <c r="D32">
        <v>140</v>
      </c>
      <c r="E32">
        <v>170</v>
      </c>
      <c r="F32">
        <v>155</v>
      </c>
      <c r="G32" t="s">
        <v>51</v>
      </c>
      <c r="H32" t="str">
        <f>=INDEX(SORT(OFFSET(A30,0,0,4,2),2),1,1)</f>
      </c>
    </row>
    <row r="33">
      <c r="A33" t="s">
        <v>47</v>
      </c>
      <c r="B33">
        <v>180</v>
      </c>
      <c r="C33">
        <v>170</v>
      </c>
      <c r="D33">
        <v>190</v>
      </c>
      <c r="E33">
        <v>200</v>
      </c>
      <c r="F33">
        <v>195</v>
      </c>
      <c r="G33" t="s">
        <v>52</v>
      </c>
      <c r="H33" t="str">
        <f>=INDEX(SORT(OFFSET(B30,0,0,4,3)),1,1)</f>
      </c>
    </row>
    <row r="35">
      <c r="A35" s="1" t="s">
        <v>53</v>
      </c>
    </row>
    <row r="37">
      <c r="A37">
        <v>1</v>
      </c>
      <c r="B37">
        <v>2</v>
      </c>
      <c r="C37">
        <v>3</v>
      </c>
      <c r="E37" t="s">
        <v>54</v>
      </c>
    </row>
    <row r="38">
      <c r="A38">
        <v>4</v>
      </c>
      <c r="B38">
        <v>5</v>
      </c>
      <c r="C38">
        <v>6</v>
      </c>
      <c r="E38" t="s">
        <v>55</v>
      </c>
      <c r="F38" t="str">
        <f>=OFFSET(C39,-1,-1)</f>
      </c>
    </row>
    <row r="39">
      <c r="A39">
        <v>7</v>
      </c>
      <c r="B39">
        <v>8</v>
      </c>
      <c r="C39">
        <v>9</v>
      </c>
      <c r="E39" t="s">
        <v>56</v>
      </c>
      <c r="F39" t="str">
        <f>=INDEX(SORT(A37:C39,1,-1),1,1)</f>
      </c>
    </row>
    <row r="40">
      <c r="E40" t="s">
        <v>57</v>
      </c>
      <c r="F40" t="str">
        <f>=OFFSET(A37,10,0)</f>
      </c>
    </row>
  </sheetData>
  <mergeCells count="4">
    <mergeCell ref="A1:H1"/>
    <mergeCell ref="A14:H14"/>
    <mergeCell ref="A25:H25"/>
    <mergeCell ref="A35:H3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