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商品表" sheetId="1" r:id="rId4"/>
    <sheet state="visible" name="发货清单-原始" sheetId="2" r:id="rId5"/>
    <sheet state="visible" name="对账单-原始" sheetId="3" r:id="rId6"/>
    <sheet state="visible" name="颜色对照表" sheetId="4" r:id="rId7"/>
    <sheet state="visible" name="发货明细 -demo" sheetId="5" r:id="rId8"/>
    <sheet state="visible" name="发货明细" sheetId="6" r:id="rId9"/>
    <sheet state="visible" name="对账单" sheetId="7" r:id="rId10"/>
    <sheet state="visible" name="入库单" sheetId="8" r:id="rId11"/>
    <sheet state="visible" name="入库单（副本）" sheetId="9" r:id="rId12"/>
  </sheets>
  <definedNames/>
  <calcPr/>
  <extLst>
    <ext uri="GoogleSheetsCustomDataVersion2">
      <go:sheetsCustomData xmlns:go="http://customooxmlschemas.google.com/" r:id="rId13" roundtripDataChecksum="HZ69WPtIELuX2OuKxieP1PB6dn5XPxw6LKiY+XRdwGQ="/>
    </ext>
  </extLst>
</workbook>
</file>

<file path=xl/sharedStrings.xml><?xml version="1.0" encoding="utf-8"?>
<sst xmlns="http://schemas.openxmlformats.org/spreadsheetml/2006/main" count="4580" uniqueCount="534">
  <si>
    <t>*商品编码SKU</t>
  </si>
  <si>
    <t>商品名称</t>
  </si>
  <si>
    <t>商品类型</t>
  </si>
  <si>
    <t>是否质检</t>
  </si>
  <si>
    <t>配件/子品信息</t>
  </si>
  <si>
    <t>库存同步时支持预拆分</t>
  </si>
  <si>
    <t>图片URL</t>
  </si>
  <si>
    <t>商品分类</t>
  </si>
  <si>
    <t>颜色</t>
  </si>
  <si>
    <t>尺码</t>
  </si>
  <si>
    <t>商品条码</t>
  </si>
  <si>
    <t>开发员</t>
  </si>
  <si>
    <t>销售员</t>
  </si>
  <si>
    <t>销售状态</t>
  </si>
  <si>
    <t>单品毛重</t>
  </si>
  <si>
    <t>单品净重</t>
  </si>
  <si>
    <t>重量单位</t>
  </si>
  <si>
    <t>长</t>
  </si>
  <si>
    <t>宽</t>
  </si>
  <si>
    <t>高</t>
  </si>
  <si>
    <t>尺寸单位</t>
  </si>
  <si>
    <t>单箱毛重</t>
  </si>
  <si>
    <t>单箱净重</t>
  </si>
  <si>
    <t>单箱重量单位</t>
  </si>
  <si>
    <t>单箱长</t>
  </si>
  <si>
    <t>单箱宽</t>
  </si>
  <si>
    <t>单箱高</t>
  </si>
  <si>
    <t>单箱尺寸单位</t>
  </si>
  <si>
    <t>单箱数量</t>
  </si>
  <si>
    <t>打包重量</t>
  </si>
  <si>
    <t>打包重量单位</t>
  </si>
  <si>
    <t>包裹长</t>
  </si>
  <si>
    <t>包裹宽</t>
  </si>
  <si>
    <t>包裹高</t>
  </si>
  <si>
    <t>打包尺寸单位</t>
  </si>
  <si>
    <t>默认供应商</t>
  </si>
  <si>
    <t>供应商名称</t>
  </si>
  <si>
    <t>采购员</t>
  </si>
  <si>
    <t>预计交期（天）</t>
  </si>
  <si>
    <t>采购单价</t>
  </si>
  <si>
    <t>采购币种</t>
  </si>
  <si>
    <t>最小采购量</t>
  </si>
  <si>
    <t>采购税率（%）</t>
  </si>
  <si>
    <t>退税税率（%）</t>
  </si>
  <si>
    <t>采购链接</t>
  </si>
  <si>
    <t>中文报关名</t>
  </si>
  <si>
    <t>英文报关名</t>
  </si>
  <si>
    <t>海关编码</t>
  </si>
  <si>
    <t>报价方式</t>
  </si>
  <si>
    <t>报关价格</t>
  </si>
  <si>
    <t>报关价格币种</t>
  </si>
  <si>
    <t>报价比例(%)</t>
  </si>
  <si>
    <t>报价最大值</t>
  </si>
  <si>
    <t>报价最大值币种</t>
  </si>
  <si>
    <t>出口税率（%）</t>
  </si>
  <si>
    <t>运输危险品</t>
  </si>
  <si>
    <t>含电类型</t>
  </si>
  <si>
    <t>申报说明</t>
  </si>
  <si>
    <t>清关价格方式</t>
  </si>
  <si>
    <t>清关价格</t>
  </si>
  <si>
    <t>清关价格币种</t>
  </si>
  <si>
    <t>清关价格比例(%)</t>
  </si>
  <si>
    <t>清关价格最大值</t>
  </si>
  <si>
    <t>清关价格最大值币种</t>
  </si>
  <si>
    <t>备注名</t>
  </si>
  <si>
    <t>简称</t>
  </si>
  <si>
    <t>商品单位</t>
  </si>
  <si>
    <t>默认售价</t>
  </si>
  <si>
    <t>售价币种</t>
  </si>
  <si>
    <t>批发价</t>
  </si>
  <si>
    <t>批发价币种</t>
  </si>
  <si>
    <t>商品品牌</t>
  </si>
  <si>
    <t>UPC</t>
  </si>
  <si>
    <t>ASIN</t>
  </si>
  <si>
    <t>自定义分类</t>
  </si>
  <si>
    <t>自定义1</t>
  </si>
  <si>
    <t>自定义2</t>
  </si>
  <si>
    <t>商品描述</t>
  </si>
  <si>
    <t>英文描述</t>
  </si>
  <si>
    <t>性能描述</t>
  </si>
  <si>
    <t>是否关联单品成本</t>
  </si>
  <si>
    <t>采购成本</t>
  </si>
  <si>
    <t>采购成本币种</t>
  </si>
  <si>
    <t>是否关联单品头程费用</t>
  </si>
  <si>
    <t>美国：费用</t>
  </si>
  <si>
    <t>美国：币种</t>
  </si>
  <si>
    <t>阿拉伯联合酋长国：费用</t>
  </si>
  <si>
    <t>阿拉伯联合酋长国：币种</t>
  </si>
  <si>
    <t>澳大利亚：费用</t>
  </si>
  <si>
    <t>澳大利亚：币种</t>
  </si>
  <si>
    <t>加拿大：费用</t>
  </si>
  <si>
    <t>加拿大：币种</t>
  </si>
  <si>
    <t>中国：费用</t>
  </si>
  <si>
    <t>中国：币种</t>
  </si>
  <si>
    <t>德国：费用</t>
  </si>
  <si>
    <t>德国：币种</t>
  </si>
  <si>
    <t>西班牙：费用</t>
  </si>
  <si>
    <t>西班牙：币种</t>
  </si>
  <si>
    <t>法国：费用</t>
  </si>
  <si>
    <t>法国：币种</t>
  </si>
  <si>
    <t>印度尼西亚：费用</t>
  </si>
  <si>
    <t>印度尼西亚：币种</t>
  </si>
  <si>
    <t>印度：费用</t>
  </si>
  <si>
    <t>印度：币种</t>
  </si>
  <si>
    <t>意大利：费用</t>
  </si>
  <si>
    <t>意大利：币种</t>
  </si>
  <si>
    <t>日本：费用</t>
  </si>
  <si>
    <t>日本：币种</t>
  </si>
  <si>
    <t>墨西哥：费用</t>
  </si>
  <si>
    <t>墨西哥：币种</t>
  </si>
  <si>
    <t>马来西亚：费用</t>
  </si>
  <si>
    <t>马来西亚：币种</t>
  </si>
  <si>
    <t>荷兰：费用</t>
  </si>
  <si>
    <t>荷兰：币种</t>
  </si>
  <si>
    <t>菲律宾：费用</t>
  </si>
  <si>
    <t>菲律宾：币种</t>
  </si>
  <si>
    <t>俄罗斯：费用</t>
  </si>
  <si>
    <t>俄罗斯：币种</t>
  </si>
  <si>
    <t>沙特阿拉伯：费用</t>
  </si>
  <si>
    <t>沙特阿拉伯：币种</t>
  </si>
  <si>
    <t>瑞典：费用</t>
  </si>
  <si>
    <t>瑞典：币种</t>
  </si>
  <si>
    <t>新加坡：费用</t>
  </si>
  <si>
    <t>新加坡：币种</t>
  </si>
  <si>
    <t>泰国：费用</t>
  </si>
  <si>
    <t>泰国：币种</t>
  </si>
  <si>
    <t>英国：费用</t>
  </si>
  <si>
    <t>英国：币种</t>
  </si>
  <si>
    <t>越南：费用</t>
  </si>
  <si>
    <t>越南：币种</t>
  </si>
  <si>
    <t>中国台湾：费用</t>
  </si>
  <si>
    <t>中国台湾：币种</t>
  </si>
  <si>
    <t>S1016_white_3XL</t>
  </si>
  <si>
    <t>S1016</t>
  </si>
  <si>
    <t>单品</t>
  </si>
  <si>
    <t>否</t>
  </si>
  <si>
    <t>https://qianyierp.oss.aliyuncs.com/image_thumbnail/MzAxYTExMzMyYzRkZTNmZmI1YmNjNmZhZTk4YjZhOTI%3D.png</t>
  </si>
  <si>
    <t>男装/男装上衣/T恤</t>
  </si>
  <si>
    <t>嘉辉</t>
  </si>
  <si>
    <t>KG</t>
  </si>
  <si>
    <t>cm</t>
  </si>
  <si>
    <t>是</t>
  </si>
  <si>
    <t>KC</t>
  </si>
  <si>
    <t>梁荣富</t>
  </si>
  <si>
    <t>CNY</t>
  </si>
  <si>
    <t>男装</t>
  </si>
  <si>
    <t>按定额</t>
  </si>
  <si>
    <t>USD</t>
  </si>
  <si>
    <t>NONE</t>
  </si>
  <si>
    <t>--</t>
  </si>
  <si>
    <t>S1016_white_2XL</t>
  </si>
  <si>
    <t>S1016_white_XL</t>
  </si>
  <si>
    <t>S1016_white_L</t>
  </si>
  <si>
    <t>S1016_white_M</t>
  </si>
  <si>
    <t>S1016_black_3XL</t>
  </si>
  <si>
    <t>https://qianyierp.oss.aliyuncs.com/image_thumbnail/YWExNWRlNWI5ZDY5Yjk1ZGFiZWEzN2FjMGU2MTUyYzQ%3D.png</t>
  </si>
  <si>
    <t>S1016_black_2XL</t>
  </si>
  <si>
    <t>S1016_black_XL</t>
  </si>
  <si>
    <t>S1016_black_L</t>
  </si>
  <si>
    <t>S1016_black_M</t>
  </si>
  <si>
    <t>S537_white_M</t>
  </si>
  <si>
    <t>S537</t>
  </si>
  <si>
    <t>S537_white_L</t>
  </si>
  <si>
    <t>S537_black_L</t>
  </si>
  <si>
    <t>S537_black_2XL</t>
  </si>
  <si>
    <t>S537_black_3XL</t>
  </si>
  <si>
    <t>S596_gray_L</t>
  </si>
  <si>
    <t>S596</t>
  </si>
  <si>
    <t>S537_white_3XL</t>
  </si>
  <si>
    <t>S671_black_M</t>
  </si>
  <si>
    <t>S671</t>
  </si>
  <si>
    <t>S671_black_L</t>
  </si>
  <si>
    <t>S671_black_2XL</t>
  </si>
  <si>
    <t>S546_black_M</t>
  </si>
  <si>
    <t>S546</t>
  </si>
  <si>
    <t>S546_black_L</t>
  </si>
  <si>
    <t>S546_black_XL</t>
  </si>
  <si>
    <t>S539_black_L</t>
  </si>
  <si>
    <t>S539</t>
  </si>
  <si>
    <t>S568_darkgray_XL</t>
  </si>
  <si>
    <t>S568</t>
  </si>
  <si>
    <t>S568_darkgray_2XL</t>
  </si>
  <si>
    <t>S568_darkgray_3XL</t>
  </si>
  <si>
    <t>S596_offwhite_3XL</t>
  </si>
  <si>
    <t>S596_offwhite_2XL</t>
  </si>
  <si>
    <t>S596_offwhite_L</t>
  </si>
  <si>
    <t>S596_offwhite_M</t>
  </si>
  <si>
    <t>S516_black_3XL</t>
  </si>
  <si>
    <t>S516</t>
  </si>
  <si>
    <t>S516_black_2XL</t>
  </si>
  <si>
    <t>S533_black_3XL</t>
  </si>
  <si>
    <t>S533</t>
  </si>
  <si>
    <t>S533_black_2XL</t>
  </si>
  <si>
    <t>S533_black_XL</t>
  </si>
  <si>
    <t>S596_gray_M</t>
  </si>
  <si>
    <t>S596_gray_XL</t>
  </si>
  <si>
    <t>S596_gray_2XL</t>
  </si>
  <si>
    <t>S596_gray_3XL</t>
  </si>
  <si>
    <t>S539_blue_XL</t>
  </si>
  <si>
    <t>1839_gray_XL</t>
  </si>
  <si>
    <t>https://qianyierp.oss.aliyuncs.com/image_thumbnail/MDdmN2M0MmVjNGNhOTYxM2E0ODVhYWRlYzc0ZWMxMjQ%3D.jpg</t>
  </si>
  <si>
    <t>女装/女装裤子/工装裤/休闲裤</t>
  </si>
  <si>
    <t>1839_gray_L</t>
  </si>
  <si>
    <t>1839_gray_M</t>
  </si>
  <si>
    <t>1839_gray_S</t>
  </si>
  <si>
    <t>1839_black_XL</t>
  </si>
  <si>
    <t>https://qianyierp.oss.aliyuncs.com/image_thumbnail/MTM5NjMwMDc1YzJkMmIzOWJiYmJmYjkwNDQyNjQwODE%3D.png</t>
  </si>
  <si>
    <t>1839_black_L</t>
  </si>
  <si>
    <t>1839_black_M</t>
  </si>
  <si>
    <t>1839_black_S</t>
  </si>
  <si>
    <t>1100_white_XL</t>
  </si>
  <si>
    <t>https://qianyierp.oss.aliyuncs.com/image_thumbnail/ZDExNTg1MmZkZWM5OGNjNWJjMjVhMTUyM2ZmZTQ1YmE%3D.jpg</t>
  </si>
  <si>
    <t>女装/女装裙子/牛奶丝连衣裙</t>
  </si>
  <si>
    <t>1100_white_L</t>
  </si>
  <si>
    <t>1100_white_M</t>
  </si>
  <si>
    <t>1100_white_S</t>
  </si>
  <si>
    <t>9644_brown_110</t>
  </si>
  <si>
    <t>https://qianyierp.oss.aliyuncs.com/image_thumbnail/ZDA2ZDZmZGExZGIxOWNlNjFjY2IwZjVjOTEwOGQ0MmU%3D.jpg</t>
  </si>
  <si>
    <t>童装/童装套装/</t>
  </si>
  <si>
    <t>9644_brown_120</t>
  </si>
  <si>
    <t>9644_brown_130</t>
  </si>
  <si>
    <t>9644_brown_140</t>
  </si>
  <si>
    <t>9644_brown_150</t>
  </si>
  <si>
    <t>9644_brown_160</t>
  </si>
  <si>
    <t>9644_pink_110</t>
  </si>
  <si>
    <t>https://qianyierp.oss.aliyuncs.com/image_thumbnail/OTUxMTU4Y2VkNjFkZWNjZWNmNjljYTY4M2U1YWYwMzI%3D.jpg</t>
  </si>
  <si>
    <t>9644_pink_120</t>
  </si>
  <si>
    <t>9644_pink_130</t>
  </si>
  <si>
    <t>9644_pink_140</t>
  </si>
  <si>
    <t>9644_pink_150</t>
  </si>
  <si>
    <t>9644_pink_160</t>
  </si>
  <si>
    <t>9630_gray_120</t>
  </si>
  <si>
    <t>https://qianyierp.oss.aliyuncs.com/image_thumbnail/ZGNjZDkzMzljOGZlN2U4N2M4MjRhYWY4Y2MzYTA2NzU%3D.jpg</t>
  </si>
  <si>
    <t>9630_gray_130</t>
  </si>
  <si>
    <t>9630_gray_140</t>
  </si>
  <si>
    <t>9630_gray_150</t>
  </si>
  <si>
    <t>9630_gray_160</t>
  </si>
  <si>
    <t>9630_blue_120</t>
  </si>
  <si>
    <t>https://qianyierp.oss.aliyuncs.com/image_thumbnail/M2QwYmE1YWJmNWZkODI3YzNjY2QyNmNmYWE4ODJiZGU%3D.jpg</t>
  </si>
  <si>
    <t>9630_blue_130</t>
  </si>
  <si>
    <t>9630_blue_140</t>
  </si>
  <si>
    <t>9630_blue_150</t>
  </si>
  <si>
    <t>9630_blue_160</t>
  </si>
  <si>
    <t>S730_navyblue_3XL</t>
  </si>
  <si>
    <t>S730</t>
  </si>
  <si>
    <t>https://qianyierp.oss.aliyuncs.com/image_thumbnail/M2JjZGY3ZDU4M2E5MTJiYmZjZDhhZWE3OTFlYmE3ZWM%3D.png</t>
  </si>
  <si>
    <t>男装/男装上衣/长袖</t>
  </si>
  <si>
    <t>S730_navyblue_2XL</t>
  </si>
  <si>
    <t>S730_navyblue_XL</t>
  </si>
  <si>
    <t>S730_navyblue_L</t>
  </si>
  <si>
    <t>S730_navyblue_M</t>
  </si>
  <si>
    <t>S730_darkgray_3XL</t>
  </si>
  <si>
    <t>S730_darkgray_2XL</t>
  </si>
  <si>
    <t>S730_darkgray_XL</t>
  </si>
  <si>
    <t>S730_darkgray_L</t>
  </si>
  <si>
    <t>S730_darkgray_M</t>
  </si>
  <si>
    <t>1285_red_XL</t>
  </si>
  <si>
    <t>https://qianyierp.oss.aliyuncs.com/image_thumbnail/MTUyMDc4ODI5ODQzNTJlYzM0NjkzZjE4ODcwYjBiNDU%3D.jpg</t>
  </si>
  <si>
    <t>1285_red_L</t>
  </si>
  <si>
    <t>1285_red_M</t>
  </si>
  <si>
    <t>1285_red_S</t>
  </si>
  <si>
    <t>ZGT0059_brown_2XL</t>
  </si>
  <si>
    <t>ZGT0059</t>
  </si>
  <si>
    <t>https://qianyierp.oss.aliyuncs.com/image_thumbnail/M2RmY2I0YzQzYmM5MGE2ZWQ1YWMxZGU0YmI1NDdkZWU%3D.png</t>
  </si>
  <si>
    <t>品牌女装/女装上衣/T恤</t>
  </si>
  <si>
    <t>ZGT0059_brown_XL</t>
  </si>
  <si>
    <t>ZGT0059_brown_L</t>
  </si>
  <si>
    <t>ZGT0059_brown_M</t>
  </si>
  <si>
    <t>ZGT0059_brown_S</t>
  </si>
  <si>
    <t>ZGT0059_black_2XL</t>
  </si>
  <si>
    <t>https://qianyierp.oss.aliyuncs.com/image_thumbnail/OWZkZjJjZjk3ODZlMTJiM2M3Njk2M2IzZGFhYWM2OTQ%3D.png</t>
  </si>
  <si>
    <t>ZGT0059_black_XL</t>
  </si>
  <si>
    <t>ZGT0059_black_L</t>
  </si>
  <si>
    <t>ZGT0059_black_M</t>
  </si>
  <si>
    <t>ZGT0059_black_S</t>
  </si>
  <si>
    <t>ZGT0059_blue_2XL</t>
  </si>
  <si>
    <t>https://qianyierp.oss.aliyuncs.com/image_thumbnail/M2M1NTkyMWZjMjEzNTZmNzFiZGFjMDU5ZDQzMTVjYTI%3D.jpg</t>
  </si>
  <si>
    <t>ZGT0059_blue_XL</t>
  </si>
  <si>
    <t>ZGT0059_blue_L</t>
  </si>
  <si>
    <t>ZGT0059_blue_M</t>
  </si>
  <si>
    <t>ZGT0059_blue_S</t>
  </si>
  <si>
    <t>1834_brown_XL</t>
  </si>
  <si>
    <t>https://qianyierp.oss.aliyuncs.com/image_thumbnail/NDc0ZTQ1OTA2ODZiY2NmMTI1ZGI1ODI3ZTUyYzRiMjk%3D.png</t>
  </si>
  <si>
    <t>女装/女装上衣/T恤</t>
  </si>
  <si>
    <t>1834_brown_L</t>
  </si>
  <si>
    <t>1834_brown_M</t>
  </si>
  <si>
    <t>1834_brown_S</t>
  </si>
  <si>
    <t>1834_black_XL</t>
  </si>
  <si>
    <t>https://qianyierp.oss.aliyuncs.com/image_thumbnail/OGUzNWQ0MWM1NDU4MDEzNDg0NmIyN2U3OWI0OWMzYTY%3D.png</t>
  </si>
  <si>
    <t>1834_black_L</t>
  </si>
  <si>
    <t>1834_black_M</t>
  </si>
  <si>
    <t>1834_black_S</t>
  </si>
  <si>
    <t>1653_gray_3XL</t>
  </si>
  <si>
    <t>https://qianyierp.oss.aliyuncs.com/image_thumbnail/YWJjMjcwNzJhYjc0YzE1YzU0ZWY1ZGEzOWZkM2M2YmY%3D.jpg</t>
  </si>
  <si>
    <t>女装/女装裙子/连衣裙</t>
  </si>
  <si>
    <t>1799_blue_XL</t>
  </si>
  <si>
    <t>https://qianyierp.oss.aliyuncs.com/image_thumbnail/M2NiMzE3OWVjMjYwZDlkODJkMjlhNmU0ZDQzNWRmYjY%3D.png</t>
  </si>
  <si>
    <t>1799_blue_M</t>
  </si>
  <si>
    <t>1799_blue_S</t>
  </si>
  <si>
    <t>1799_gray_XL</t>
  </si>
  <si>
    <t>https://qianyierp.oss.aliyuncs.com/image_thumbnail/YTEwYjMzOGIxZjgxNDE1OGMwMDg5ZjU0NTZhMGY1NjE%3D.png</t>
  </si>
  <si>
    <t>1799_gray_L</t>
  </si>
  <si>
    <t>1799_gray_M</t>
  </si>
  <si>
    <t>1799_gray_S</t>
  </si>
  <si>
    <t>1143_black_3XL</t>
  </si>
  <si>
    <t>https://qianyierp.oss.aliyuncs.com/image_thumbnail/MDA3MWM5NjZiZDZjNDkxNDk1NGE5ODQwMGYwZTRkMWU%3D.jpg</t>
  </si>
  <si>
    <t>女装/女装裤子/短裤</t>
  </si>
  <si>
    <t>1477_black_3XL</t>
  </si>
  <si>
    <t>https://qianyierp.oss.aliyuncs.com/image_thumbnail/NjQzMDQxNjFhMGY5ODY1ZTgxYjE3MDlkYWNiYTI0YWQ%3D.jpg</t>
  </si>
  <si>
    <t>1143_gray_3XL</t>
  </si>
  <si>
    <t>https://qianyierp.oss.aliyuncs.com/image_thumbnail/OTllMjBhNDA4N2Y2ZGM0MDk1NDIwMjM0NDE2ZWNmZDM%3D.jpg</t>
  </si>
  <si>
    <t>A1556_white_M</t>
  </si>
  <si>
    <t>A1556</t>
  </si>
  <si>
    <t>https://qianyierp.oss.aliyuncs.com/image_thumbnail/ZDEzOWQwNDYzNGYyNzAyZTkwOGRkYjExMjkzMjIyMGY%3D.png</t>
  </si>
  <si>
    <t>女装/女装上衣/长袖</t>
  </si>
  <si>
    <t>A1556_white_S</t>
  </si>
  <si>
    <t>https://qianyierp.oss.aliyuncs.com/image_thumbnail/ZjFlMWFhOTdhNGNhYjBmYzJlOGExYjJkOTg0MGNmMjQ%3D.png</t>
  </si>
  <si>
    <t>A1556_brown_M</t>
  </si>
  <si>
    <t>https://qianyierp.oss.aliyuncs.com/image_thumbnail/N2U4ZDY2NmQzYWE2NTRmNTI5NzhkY2IyNzcxY2JmZWM%3D.png</t>
  </si>
  <si>
    <t>9622_blue_150</t>
  </si>
  <si>
    <t>https://qianyierp.oss.aliyuncs.com/image_thumbnail/MzA5ZDc4MGNhNzg2YzgwYTk4NzE0Mjc2ZThkMjgzZGE%3D.png</t>
  </si>
  <si>
    <t>童装/童装上衣/长袖</t>
  </si>
  <si>
    <t>9622_blue_130</t>
  </si>
  <si>
    <t>9622_blue_160</t>
  </si>
  <si>
    <t>9622_black_130</t>
  </si>
  <si>
    <t>https://qianyierp.oss.aliyuncs.com/image_thumbnail/MmQzNzU4ZTdkNmY3ZTgzYTNjMDMyZmZhZTQ0ZmViNDg%3D.png</t>
  </si>
  <si>
    <t>9622_black_150</t>
  </si>
  <si>
    <t>9622_pink_120</t>
  </si>
  <si>
    <t>https://qianyierp.oss.aliyuncs.com/image_thumbnail/NDFmYzM0M2Y5ZTczMjNmNzRlZTMxZjI0NGY3ZjIzYjA%3D.jpg</t>
  </si>
  <si>
    <t>9622_pink_140</t>
  </si>
  <si>
    <t>9622_pink_160</t>
  </si>
  <si>
    <t>1477_gray_3XL</t>
  </si>
  <si>
    <t>https://qianyierp.oss.aliyuncs.com/image_thumbnail/MjI2NzkxMjlhNjUyOTIwM2FhNzRiMjU3NmFiNGMwNzk%3D.jpg</t>
  </si>
  <si>
    <t>9638_pink_120</t>
  </si>
  <si>
    <t>https://qianyierp.oss.aliyuncs.com/image_thumbnail/ODZlYzVkYjg3MWI2OTM4ODc2MTY3NmVkNmJhZjAyYTY%3D.jpg</t>
  </si>
  <si>
    <t>9638_pink_130</t>
  </si>
  <si>
    <t>CK0134_gray_M</t>
  </si>
  <si>
    <t>CK0134</t>
  </si>
  <si>
    <t>https://qianyierp.oss.aliyuncs.com/image_thumbnail/ZDhlM2I2Nzk3Mzg1ZmQ4OTg5ZmYxZTkxYmIzZGYzYjI%3D.png</t>
  </si>
  <si>
    <t>男装/男装裤子/休闲裤</t>
  </si>
  <si>
    <t>9638_pink_140</t>
  </si>
  <si>
    <t>CK0134_gray_L</t>
  </si>
  <si>
    <t>9638_pink_150</t>
  </si>
  <si>
    <t>CK0134_gray_XL</t>
  </si>
  <si>
    <t>9638_pink_160</t>
  </si>
  <si>
    <t>CK0134_gray_2XL</t>
  </si>
  <si>
    <t>CK0134_black_M</t>
  </si>
  <si>
    <t>https://qianyierp.oss.aliyuncs.com/image_thumbnail/ODE4YWNhNTM1NWRmN2RlYjYyNDBlYmYwOGY3NjZkYTg%3D.png</t>
  </si>
  <si>
    <t>CK0134_black_L</t>
  </si>
  <si>
    <t>9638_apricot_160</t>
  </si>
  <si>
    <t>https://qianyierp.oss.aliyuncs.com/image_thumbnail/YTJiOWY1NDUwNTQ5MjNhMTA1ZjJhZDg0YTNjNDJiMDI%3D.jpg</t>
  </si>
  <si>
    <t>CK0134_black_XL</t>
  </si>
  <si>
    <t>9638_apricot_150</t>
  </si>
  <si>
    <t>9638_apricot_140</t>
  </si>
  <si>
    <t>9638_apricot_130</t>
  </si>
  <si>
    <t>CK0134_black_2XL</t>
  </si>
  <si>
    <t>9638_apricot_120</t>
  </si>
  <si>
    <t>ZMT0057_brown_3XL</t>
  </si>
  <si>
    <t>ZMT0057</t>
  </si>
  <si>
    <t>https://qianyierp.oss.aliyuncs.com/image_thumbnail/MzNkOTQxMjRiMTcyNDUxM2E1OTA3MzNlYWRkOTY2MDY%3D.jpg</t>
  </si>
  <si>
    <t>品牌男装/男装上衣/长袖</t>
  </si>
  <si>
    <t>ZMT0057_brown_2XL</t>
  </si>
  <si>
    <t>ZMT0057_brown_XL</t>
  </si>
  <si>
    <t>ZMT0057_brown_L</t>
  </si>
  <si>
    <t>ZMT0057_brown_M</t>
  </si>
  <si>
    <t>ZMT0057_black_3XL</t>
  </si>
  <si>
    <t>https://qianyierp.oss.aliyuncs.com/image_thumbnail/OGM3ZjYzMmY3MGU2MmQ3OTEyNGIwNGIzMjdlYjA0ZDY%3D.jpg</t>
  </si>
  <si>
    <t>ZMT0057_black_2XL</t>
  </si>
  <si>
    <t>ZMT0057_black_XL</t>
  </si>
  <si>
    <t>ZMT0057_black_L</t>
  </si>
  <si>
    <t>ZMT0057_black_M</t>
  </si>
  <si>
    <t>ZMT0057_white_3XL</t>
  </si>
  <si>
    <t>https://qianyierp.oss.aliyuncs.com/image_thumbnail/Y2E0OTkwNjk5NTNhMzQ0OGZhYmI4MWQxYjFhN2FjZDg%3D.jpg</t>
  </si>
  <si>
    <t>ZMT0057_white_2XL</t>
  </si>
  <si>
    <t>ZMT0057_white_XL</t>
  </si>
  <si>
    <t>ZMT0057_white_L</t>
  </si>
  <si>
    <t>ZMT0057_white_M</t>
  </si>
  <si>
    <t>ZMT0054_white_3XL</t>
  </si>
  <si>
    <t>ZMT0054</t>
  </si>
  <si>
    <t>ZMT0054_white_2XL</t>
  </si>
  <si>
    <t>ZMT0054_white_XL</t>
  </si>
  <si>
    <t>ZMT0054_white_L</t>
  </si>
  <si>
    <t>ZMT0054_white_M</t>
  </si>
  <si>
    <t>ZMT0054_gray_3XL</t>
  </si>
  <si>
    <t>https://qianyierp.oss.aliyuncs.com/image_thumbnail/MGU2MjBjODdmODFhODc4MzBjNTkxYTBlMTEzZWU2NjM%3D.jpg</t>
  </si>
  <si>
    <t>ZMT0054_gray_2XL</t>
  </si>
  <si>
    <t>ZMT0054_gray_XL</t>
  </si>
  <si>
    <t>ZMT0054_gray_L</t>
  </si>
  <si>
    <t>ZMT0054_gray_M</t>
  </si>
  <si>
    <t>ZMT0054_black_3XL</t>
  </si>
  <si>
    <t>https://qianyierp.oss.aliyuncs.com/image_thumbnail/ZGY4NTVlODRlNDhiOWRkODYzOTM0NTAxNmEzY2UzMTM%3D.jpg</t>
  </si>
  <si>
    <t>ZMT0054_black_2XL</t>
  </si>
  <si>
    <t>ZMT0054_black_XL</t>
  </si>
  <si>
    <t>ZMT0054_black_L</t>
  </si>
  <si>
    <t>ZMT0054_black_M</t>
  </si>
  <si>
    <t>1594_apricot_XL</t>
  </si>
  <si>
    <t>https://qianyierp.oss.aliyuncs.com/image_thumbnail/YmFmNDNjNjE2M2Q3OWM2N2FmZDJlYTVmMDZlMDQyZWU%3D.png</t>
  </si>
  <si>
    <t>1594_apricot_L</t>
  </si>
  <si>
    <t>1594_apricot_M</t>
  </si>
  <si>
    <t>1594_apricot_S</t>
  </si>
  <si>
    <t>CK88_darkblue_3XL</t>
  </si>
  <si>
    <t>CK88</t>
  </si>
  <si>
    <t>https://qianyierp.oss.aliyuncs.com/image_thumbnail/OTIwZTk4YmFjMzhjMjQxZjA3NDZlM2VjOTA3MTY0YTY%3D.png</t>
  </si>
  <si>
    <t>男装/男装裤子/牛仔裤</t>
  </si>
  <si>
    <t>CK88_darkblue_2XL</t>
  </si>
  <si>
    <t>CK88_darkblue_XL</t>
  </si>
  <si>
    <t>CK88_darkblue_L</t>
  </si>
  <si>
    <t>CK88_darkblue_M</t>
  </si>
  <si>
    <t>B1622_gray_XL</t>
  </si>
  <si>
    <t>B1622</t>
  </si>
  <si>
    <t>https://qianyierp.oss.aliyuncs.com/image_thumbnail/NGJjZWFiZTc3OTg1MjI4ODM1NGZiZWFiZTA0NzQxOTA%3D.png</t>
  </si>
  <si>
    <t>B1622_gray_L</t>
  </si>
  <si>
    <t>B1622_gray_M</t>
  </si>
  <si>
    <t>B1622_gray_S</t>
  </si>
  <si>
    <t>1769_darkgray_XL</t>
  </si>
  <si>
    <t>https://qianyierp.oss.aliyuncs.com/image_thumbnail/YzM0MTljZGJjMGNkMWEyNjkwYjE3MzZjOTRmMjNkMTE%3D.png</t>
  </si>
  <si>
    <t>女装/女装裤子/牛仔裤</t>
  </si>
  <si>
    <t>1769_darkgray_L</t>
  </si>
  <si>
    <t>https://qianyierp.oss.aliyuncs.com/image_thumbnail/Njg4Y2M2M2Y4ZjE0YjljYzMxZDgyZDdlMmY4YjIzNmY%3D.png</t>
  </si>
  <si>
    <t>1769_darkgray_M</t>
  </si>
  <si>
    <t>https://qianyierp.oss.aliyuncs.com/image_thumbnail/NzZlNTJlNjI2Y2M1ZDQ3MWU2MjNiZWIxY2E2NjkyMmU%3D.png</t>
  </si>
  <si>
    <t>1769_darkgray_S</t>
  </si>
  <si>
    <t>https://qianyierp.oss.aliyuncs.com/image_thumbnail/ZWY1OGQzMjUyODY0OGU0ZDgxZjEyNTliNTg2NzM1NjI%3D.png</t>
  </si>
  <si>
    <t>1787_lightblue_XL</t>
  </si>
  <si>
    <t>https://qianyierp.oss.aliyuncs.com/image_thumbnail/YjZmMGM0MzVhYWIyZGNhNjUyZWMxM2E3YjRhYmU4Mjg%3D.png</t>
  </si>
  <si>
    <t>1787_lightblue_L</t>
  </si>
  <si>
    <t>1787_lightblue_M</t>
  </si>
  <si>
    <t>1787_lightblue_S</t>
  </si>
  <si>
    <t>1787_drakblue_XL</t>
  </si>
  <si>
    <t>https://qianyierp.oss.aliyuncs.com/image_thumbnail/ODAxODE4M2M5OWM4M2VmZjNlZjk2MzFjODA4YmVkNDI%3D.png</t>
  </si>
  <si>
    <t>1787_drakblue_L</t>
  </si>
  <si>
    <t>1787_drakblue_M</t>
  </si>
  <si>
    <t>1787_drakblue_S</t>
  </si>
  <si>
    <t>ZMT0056_brown_3XL</t>
  </si>
  <si>
    <t>ZMT0056</t>
  </si>
  <si>
    <t>https://qianyierp.oss.aliyuncs.com/image_thumbnail/NDI5ZTMxNzgwODc3YjMwMGVlM2EzYTZmMTIxZDJlZGM%3D.jpg</t>
  </si>
  <si>
    <t>ZMT0056_brown_2XL</t>
  </si>
  <si>
    <t>ZMT0056_brown_XL</t>
  </si>
  <si>
    <t>ZMT0056_brown_L</t>
  </si>
  <si>
    <t>ZMT0056_brown_M</t>
  </si>
  <si>
    <t>ZMT0056_black_3XL</t>
  </si>
  <si>
    <t>https://qianyierp.oss.aliyuncs.com/image_thumbnail/MWJiMDg3MWZlMjVjMTdjN2M3MGM4M2E3NjA4ODkzYmE%3D.jpg</t>
  </si>
  <si>
    <t>ZMT0056_black_2XL</t>
  </si>
  <si>
    <t>ZMT0056_black_XL</t>
  </si>
  <si>
    <t>ZMT0056_black_L</t>
  </si>
  <si>
    <t>ZMT0056_black_M</t>
  </si>
  <si>
    <t>ZMT0056_white_3XL</t>
  </si>
  <si>
    <t>https://qianyierp.oss.aliyuncs.com/image_thumbnail/OTRiZmYzZWU5ZGI3MWNkMzYzOWMwNTEwZjZjYTVmZjA%3D.jpg</t>
  </si>
  <si>
    <t>订单ID</t>
  </si>
  <si>
    <t>运输方式</t>
  </si>
  <si>
    <t>国家</t>
  </si>
  <si>
    <t>包裹编号</t>
  </si>
  <si>
    <t>货号</t>
  </si>
  <si>
    <t>数量</t>
  </si>
  <si>
    <t>发货日期</t>
  </si>
  <si>
    <t>唛头</t>
  </si>
  <si>
    <t>ORDER001</t>
  </si>
  <si>
    <t>海运</t>
  </si>
  <si>
    <t>泰国</t>
  </si>
  <si>
    <t>白色</t>
  </si>
  <si>
    <t>M</t>
  </si>
  <si>
    <t>2125-52</t>
  </si>
  <si>
    <t>马来西亚</t>
  </si>
  <si>
    <t>L</t>
  </si>
  <si>
    <t>黑色</t>
  </si>
  <si>
    <t>2XL</t>
  </si>
  <si>
    <t>3XL</t>
  </si>
  <si>
    <t>灰色</t>
  </si>
  <si>
    <t>陆运</t>
  </si>
  <si>
    <t>XL</t>
  </si>
  <si>
    <t>深灰</t>
  </si>
  <si>
    <t>米白</t>
  </si>
  <si>
    <t>蓝色</t>
  </si>
  <si>
    <t>藏青</t>
  </si>
  <si>
    <t>ORDER002</t>
  </si>
  <si>
    <t>ORDER003</t>
  </si>
  <si>
    <t>日期</t>
  </si>
  <si>
    <t>款式</t>
  </si>
  <si>
    <t>单价</t>
  </si>
  <si>
    <t>金额</t>
  </si>
  <si>
    <t>类型</t>
  </si>
  <si>
    <t>596色布</t>
  </si>
  <si>
    <t>发货</t>
  </si>
  <si>
    <t>S671黑色</t>
  </si>
  <si>
    <t>S546黑色</t>
  </si>
  <si>
    <t>退CK22差价</t>
  </si>
  <si>
    <t>退货</t>
  </si>
  <si>
    <t>运费</t>
  </si>
  <si>
    <t>中文颜色</t>
  </si>
  <si>
    <t>中文颜色简写</t>
  </si>
  <si>
    <t>英文颜色</t>
  </si>
  <si>
    <t>白</t>
  </si>
  <si>
    <t>white</t>
  </si>
  <si>
    <t>黑</t>
  </si>
  <si>
    <t>black</t>
  </si>
  <si>
    <t>灰</t>
  </si>
  <si>
    <t>gray</t>
  </si>
  <si>
    <t>深灰色</t>
  </si>
  <si>
    <t>darkgray</t>
  </si>
  <si>
    <t>米白色</t>
  </si>
  <si>
    <t>offwhite</t>
  </si>
  <si>
    <t>蓝</t>
  </si>
  <si>
    <t>blue</t>
  </si>
  <si>
    <t>棕色</t>
  </si>
  <si>
    <t>棕</t>
  </si>
  <si>
    <t>brown</t>
  </si>
  <si>
    <t>粉色</t>
  </si>
  <si>
    <t>粉</t>
  </si>
  <si>
    <t>pink</t>
  </si>
  <si>
    <t>海军蓝</t>
  </si>
  <si>
    <t>navyblue</t>
  </si>
  <si>
    <t>红色</t>
  </si>
  <si>
    <t>红</t>
  </si>
  <si>
    <t>red</t>
  </si>
  <si>
    <t>杏色</t>
  </si>
  <si>
    <t>杏</t>
  </si>
  <si>
    <t>apricot</t>
  </si>
  <si>
    <t>深蓝色</t>
  </si>
  <si>
    <t>深蓝</t>
  </si>
  <si>
    <t>darkblue</t>
  </si>
  <si>
    <t>浅蓝色</t>
  </si>
  <si>
    <t>浅蓝</t>
  </si>
  <si>
    <t>lightblue</t>
  </si>
  <si>
    <t>drakblue</t>
  </si>
  <si>
    <t>商品编码</t>
  </si>
  <si>
    <t>工厂单价</t>
  </si>
  <si>
    <t>头程费用</t>
  </si>
  <si>
    <t>紫色</t>
  </si>
  <si>
    <t>系统采购单价</t>
  </si>
  <si>
    <t>调拨费用</t>
  </si>
  <si>
    <t>预计数量</t>
  </si>
  <si>
    <t>系统录入状态</t>
  </si>
  <si>
    <t>工厂录入状态</t>
  </si>
  <si>
    <t>价格核对状态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</si>
</sst>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4">
    <font>
      <sz val="11.0"/>
      <color theme="1"/>
      <name val="Calibri"/>
      <scheme val="minor"/>
    </font>
    <font>
      <sz val="12.0"/>
      <color theme="1"/>
      <name val="SimSun"/>
    </font>
    <font>
      <sz val="11.0"/>
      <color theme="1"/>
      <name val="Calibri"/>
    </font>
    <font>
      <sz val="10.0"/>
      <color theme="1"/>
      <name val="Arial"/>
    </font>
    <font>
      <sz val="12.0"/>
      <color theme="1"/>
      <name val="SimSong"/>
    </font>
    <font>
      <u/>
      <sz val="12.0"/>
      <color rgb="FF1155CC"/>
      <name val="Arial"/>
    </font>
    <font>
      <sz val="10.0"/>
      <color rgb="FF1F1F1F"/>
      <name val="Arial"/>
    </font>
    <font>
      <sz val="11.0"/>
      <color theme="1"/>
      <name val="SimSun"/>
    </font>
    <font>
      <sz val="10.0"/>
      <color theme="1"/>
      <name val="Courier New"/>
    </font>
    <font>
      <b/>
      <sz val="10.0"/>
      <color theme="1"/>
      <name val="Arial"/>
    </font>
    <font>
      <sz val="11.0"/>
      <color rgb="FFFF0000"/>
      <name val="SimSun"/>
    </font>
    <font>
      <color theme="1"/>
      <name val="Calibri"/>
      <scheme val="minor"/>
    </font>
    <font>
      <sz val="11.0"/>
      <color theme="1"/>
      <name val="等线"/>
    </font>
    <font>
      <b/>
      <sz val="11.0"/>
      <color theme="1"/>
      <name val="SimSun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A9A9A"/>
      </bottom>
    </border>
    <border>
      <left style="medium">
        <color rgb="FF9A9A9A"/>
      </left>
      <right style="medium">
        <color rgb="FF9A9A9A"/>
      </right>
      <top style="medium">
        <color rgb="FFCCCCCC"/>
      </top>
      <bottom style="medium">
        <color rgb="FF9A9A9A"/>
      </bottom>
    </border>
    <border>
      <left style="medium">
        <color rgb="FFCCCCCC"/>
      </left>
      <right style="medium">
        <color rgb="FF9A9A9A"/>
      </right>
      <top style="medium">
        <color rgb="FFCCCCCC"/>
      </top>
      <bottom style="medium">
        <color rgb="FF9A9A9A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2" fillId="2" fontId="1" numFmtId="0" xfId="0" applyAlignment="1" applyBorder="1" applyFill="1" applyFont="1">
      <alignment horizontal="center" shrinkToFit="0" vertical="bottom" wrapText="1"/>
    </xf>
    <xf borderId="3" fillId="0" fontId="2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vertical="center"/>
    </xf>
    <xf borderId="3" fillId="0" fontId="2" numFmtId="0" xfId="0" applyAlignment="1" applyBorder="1" applyFont="1">
      <alignment horizontal="right" shrinkToFit="0" vertical="bottom" wrapText="1"/>
    </xf>
    <xf borderId="4" fillId="0" fontId="2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shrinkToFit="0" vertical="bottom" wrapText="1"/>
    </xf>
    <xf borderId="4" fillId="0" fontId="2" numFmtId="0" xfId="0" applyAlignment="1" applyBorder="1" applyFont="1">
      <alignment vertical="center"/>
    </xf>
    <xf borderId="6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horizontal="right" shrinkToFit="0" vertical="bottom" wrapText="1"/>
    </xf>
    <xf borderId="7" fillId="0" fontId="4" numFmtId="0" xfId="0" applyAlignment="1" applyBorder="1" applyFont="1">
      <alignment shrinkToFit="0" vertical="bottom" wrapText="1"/>
    </xf>
    <xf borderId="7" fillId="0" fontId="3" numFmtId="0" xfId="0" applyAlignment="1" applyBorder="1" applyFont="1">
      <alignment shrinkToFit="0" vertical="bottom" wrapText="1"/>
    </xf>
    <xf borderId="7" fillId="0" fontId="5" numFmtId="0" xfId="0" applyAlignment="1" applyBorder="1" applyFont="1">
      <alignment shrinkToFit="0" vertical="bottom" wrapText="1"/>
    </xf>
    <xf borderId="5" fillId="0" fontId="4" numFmtId="0" xfId="0" applyAlignment="1" applyBorder="1" applyFont="1">
      <alignment vertical="center"/>
    </xf>
    <xf borderId="3" fillId="0" fontId="6" numFmtId="0" xfId="0" applyAlignment="1" applyBorder="1" applyFont="1">
      <alignment shrinkToFit="0" vertical="bottom" wrapText="1"/>
    </xf>
    <xf borderId="3" fillId="0" fontId="6" numFmtId="0" xfId="0" applyAlignment="1" applyBorder="1" applyFont="1">
      <alignment horizontal="right" shrinkToFit="0" vertical="bottom" wrapText="1"/>
    </xf>
    <xf borderId="3" fillId="0" fontId="6" numFmtId="164" xfId="0" applyAlignment="1" applyBorder="1" applyFont="1" applyNumberFormat="1">
      <alignment horizontal="right" shrinkToFit="0" vertical="bottom" wrapText="1"/>
    </xf>
    <xf borderId="3" fillId="0" fontId="3" numFmtId="0" xfId="0" applyAlignment="1" applyBorder="1" applyFont="1">
      <alignment horizontal="right" shrinkToFit="0" vertical="bottom" wrapText="1"/>
    </xf>
    <xf borderId="3" fillId="0" fontId="3" numFmtId="164" xfId="0" applyAlignment="1" applyBorder="1" applyFont="1" applyNumberFormat="1">
      <alignment horizontal="right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3" fillId="0" fontId="8" numFmtId="0" xfId="0" applyAlignment="1" applyBorder="1" applyFont="1">
      <alignment shrinkToFit="0" vertical="bottom" wrapText="1"/>
    </xf>
    <xf borderId="3" fillId="3" fontId="3" numFmtId="0" xfId="0" applyAlignment="1" applyBorder="1" applyFill="1" applyFont="1">
      <alignment shrinkToFit="0" vertical="bottom" wrapText="1"/>
    </xf>
    <xf borderId="3" fillId="0" fontId="9" numFmtId="0" xfId="0" applyAlignment="1" applyBorder="1" applyFont="1">
      <alignment shrinkToFit="0" vertical="bottom" wrapText="1"/>
    </xf>
    <xf borderId="3" fillId="0" fontId="10" numFmtId="164" xfId="0" applyAlignment="1" applyBorder="1" applyFont="1" applyNumberFormat="1">
      <alignment horizontal="center" shrinkToFit="0" vertical="bottom" wrapText="1"/>
    </xf>
    <xf borderId="3" fillId="0" fontId="10" numFmtId="0" xfId="0" applyAlignment="1" applyBorder="1" applyFont="1">
      <alignment horizontal="center" shrinkToFit="0" vertical="bottom" wrapText="1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8" fillId="0" fontId="3" numFmtId="0" xfId="0" applyAlignment="1" applyBorder="1" applyFont="1">
      <alignment shrinkToFit="0" vertical="bottom" wrapText="1"/>
    </xf>
    <xf borderId="2" fillId="4" fontId="13" numFmtId="0" xfId="0" applyAlignment="1" applyBorder="1" applyFill="1" applyFont="1">
      <alignment horizontal="center" shrinkToFit="0" vertical="bottom" wrapText="1"/>
    </xf>
    <xf borderId="3" fillId="0" fontId="3" numFmtId="0" xfId="0" applyAlignment="1" applyBorder="1" applyFont="1">
      <alignment horizontal="righ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2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</row>
    <row r="2" ht="14.25" customHeight="1">
      <c r="A2" s="4" t="s">
        <v>132</v>
      </c>
      <c r="B2" s="4" t="s">
        <v>133</v>
      </c>
      <c r="C2" s="4" t="s">
        <v>134</v>
      </c>
      <c r="D2" s="4" t="s">
        <v>135</v>
      </c>
      <c r="E2" s="5"/>
      <c r="F2" s="5"/>
      <c r="G2" s="4" t="s">
        <v>136</v>
      </c>
      <c r="H2" s="6" t="s">
        <v>137</v>
      </c>
      <c r="I2" s="5"/>
      <c r="J2" s="5"/>
      <c r="K2" s="5"/>
      <c r="L2" s="4" t="s">
        <v>138</v>
      </c>
      <c r="M2" s="5"/>
      <c r="N2" s="5"/>
      <c r="O2" s="4">
        <v>0.2</v>
      </c>
      <c r="P2" s="4">
        <v>0.2</v>
      </c>
      <c r="Q2" s="4" t="s">
        <v>139</v>
      </c>
      <c r="R2" s="4">
        <v>40.0</v>
      </c>
      <c r="S2" s="4">
        <v>28.0</v>
      </c>
      <c r="T2" s="4">
        <v>5.0</v>
      </c>
      <c r="U2" s="4" t="s">
        <v>140</v>
      </c>
      <c r="V2" s="5"/>
      <c r="W2" s="5"/>
      <c r="X2" s="5"/>
      <c r="Y2" s="5"/>
      <c r="Z2" s="5"/>
      <c r="AA2" s="5"/>
      <c r="AB2" s="5"/>
      <c r="AC2" s="5"/>
      <c r="AD2" s="5"/>
      <c r="AE2" s="4" t="s">
        <v>139</v>
      </c>
      <c r="AF2" s="5"/>
      <c r="AG2" s="5"/>
      <c r="AH2" s="5"/>
      <c r="AI2" s="4" t="s">
        <v>140</v>
      </c>
      <c r="AJ2" s="4" t="s">
        <v>141</v>
      </c>
      <c r="AK2" s="4" t="s">
        <v>142</v>
      </c>
      <c r="AL2" s="4" t="s">
        <v>143</v>
      </c>
      <c r="AM2" s="4">
        <v>15.0</v>
      </c>
      <c r="AN2" s="7">
        <v>12.0</v>
      </c>
      <c r="AO2" s="4" t="s">
        <v>144</v>
      </c>
      <c r="AP2" s="4">
        <v>1.0</v>
      </c>
      <c r="AQ2" s="4">
        <v>0.0</v>
      </c>
      <c r="AR2" s="4">
        <v>0.0</v>
      </c>
      <c r="AS2" s="5"/>
      <c r="AT2" s="4" t="s">
        <v>145</v>
      </c>
      <c r="AU2" s="4" t="s">
        <v>133</v>
      </c>
      <c r="AV2" s="5"/>
      <c r="AW2" s="4" t="s">
        <v>146</v>
      </c>
      <c r="AX2" s="4">
        <v>1.0</v>
      </c>
      <c r="AY2" s="4" t="s">
        <v>147</v>
      </c>
      <c r="AZ2" s="5"/>
      <c r="BA2" s="5"/>
      <c r="BB2" s="5"/>
      <c r="BC2" s="4">
        <v>0.0</v>
      </c>
      <c r="BD2" s="4" t="s">
        <v>148</v>
      </c>
      <c r="BE2" s="4" t="s">
        <v>149</v>
      </c>
      <c r="BF2" s="5"/>
      <c r="BG2" s="5"/>
      <c r="BH2" s="5"/>
      <c r="BI2" s="5"/>
      <c r="BJ2" s="5"/>
      <c r="BK2" s="5"/>
      <c r="BL2" s="5"/>
      <c r="BM2" s="5"/>
      <c r="BN2" s="5"/>
      <c r="BO2" s="5"/>
      <c r="BP2" s="4">
        <v>0.0</v>
      </c>
      <c r="BQ2" s="4" t="s">
        <v>147</v>
      </c>
      <c r="BR2" s="5"/>
      <c r="BS2" s="4" t="s">
        <v>147</v>
      </c>
      <c r="BT2" s="5"/>
      <c r="BU2" s="5"/>
      <c r="BV2" s="5"/>
      <c r="BW2" s="5"/>
      <c r="BX2" s="5"/>
      <c r="BY2" s="5"/>
      <c r="BZ2" s="5"/>
      <c r="CA2" s="5"/>
      <c r="CB2" s="5"/>
      <c r="CC2" s="5"/>
      <c r="CD2" s="7">
        <v>12.0</v>
      </c>
      <c r="CE2" s="4" t="s">
        <v>144</v>
      </c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7">
        <v>1.2</v>
      </c>
      <c r="DH2" s="4" t="s">
        <v>144</v>
      </c>
      <c r="DI2" s="5"/>
      <c r="DJ2" s="5"/>
      <c r="DK2" s="7">
        <v>0.9</v>
      </c>
      <c r="DL2" s="4" t="s">
        <v>144</v>
      </c>
      <c r="DM2" s="5"/>
      <c r="DN2" s="5"/>
      <c r="DO2" s="5"/>
      <c r="DP2" s="5"/>
      <c r="DQ2" s="5"/>
      <c r="DR2" s="5"/>
      <c r="DS2" s="5"/>
      <c r="DT2" s="5"/>
      <c r="DU2" s="7">
        <v>1.0</v>
      </c>
      <c r="DV2" s="4" t="s">
        <v>144</v>
      </c>
      <c r="DW2" s="5"/>
      <c r="DX2" s="5"/>
      <c r="DY2" s="5"/>
      <c r="DZ2" s="5"/>
      <c r="EA2" s="5"/>
      <c r="EB2" s="5"/>
    </row>
    <row r="3" ht="14.25" customHeight="1">
      <c r="A3" s="4" t="s">
        <v>150</v>
      </c>
      <c r="B3" s="4" t="s">
        <v>133</v>
      </c>
      <c r="C3" s="4" t="s">
        <v>134</v>
      </c>
      <c r="D3" s="4" t="s">
        <v>135</v>
      </c>
      <c r="E3" s="5"/>
      <c r="F3" s="5"/>
      <c r="G3" s="4" t="s">
        <v>136</v>
      </c>
      <c r="H3" s="6" t="s">
        <v>137</v>
      </c>
      <c r="I3" s="5"/>
      <c r="J3" s="5"/>
      <c r="K3" s="5"/>
      <c r="L3" s="4" t="s">
        <v>138</v>
      </c>
      <c r="M3" s="5"/>
      <c r="N3" s="5"/>
      <c r="O3" s="4">
        <v>0.2</v>
      </c>
      <c r="P3" s="4">
        <v>0.2</v>
      </c>
      <c r="Q3" s="4" t="s">
        <v>139</v>
      </c>
      <c r="R3" s="4">
        <v>40.0</v>
      </c>
      <c r="S3" s="4">
        <v>28.0</v>
      </c>
      <c r="T3" s="4">
        <v>5.0</v>
      </c>
      <c r="U3" s="4" t="s">
        <v>140</v>
      </c>
      <c r="V3" s="5"/>
      <c r="W3" s="5"/>
      <c r="X3" s="5"/>
      <c r="Y3" s="5"/>
      <c r="Z3" s="5"/>
      <c r="AA3" s="5"/>
      <c r="AB3" s="5"/>
      <c r="AC3" s="5"/>
      <c r="AD3" s="5"/>
      <c r="AE3" s="4" t="s">
        <v>139</v>
      </c>
      <c r="AF3" s="5"/>
      <c r="AG3" s="5"/>
      <c r="AH3" s="5"/>
      <c r="AI3" s="4" t="s">
        <v>140</v>
      </c>
      <c r="AJ3" s="4" t="s">
        <v>141</v>
      </c>
      <c r="AK3" s="4" t="s">
        <v>142</v>
      </c>
      <c r="AL3" s="4" t="s">
        <v>143</v>
      </c>
      <c r="AM3" s="4">
        <v>15.0</v>
      </c>
      <c r="AN3" s="7">
        <v>12.0</v>
      </c>
      <c r="AO3" s="4" t="s">
        <v>144</v>
      </c>
      <c r="AP3" s="4">
        <v>1.0</v>
      </c>
      <c r="AQ3" s="4">
        <v>0.0</v>
      </c>
      <c r="AR3" s="4">
        <v>0.0</v>
      </c>
      <c r="AS3" s="5"/>
      <c r="AT3" s="4" t="s">
        <v>145</v>
      </c>
      <c r="AU3" s="4" t="s">
        <v>133</v>
      </c>
      <c r="AV3" s="5"/>
      <c r="AW3" s="4" t="s">
        <v>146</v>
      </c>
      <c r="AX3" s="4">
        <v>1.0</v>
      </c>
      <c r="AY3" s="4" t="s">
        <v>147</v>
      </c>
      <c r="AZ3" s="5"/>
      <c r="BA3" s="5"/>
      <c r="BB3" s="5"/>
      <c r="BC3" s="4">
        <v>0.0</v>
      </c>
      <c r="BD3" s="4" t="s">
        <v>148</v>
      </c>
      <c r="BE3" s="4" t="s">
        <v>149</v>
      </c>
      <c r="BF3" s="5"/>
      <c r="BG3" s="5"/>
      <c r="BH3" s="5"/>
      <c r="BI3" s="5"/>
      <c r="BJ3" s="5"/>
      <c r="BK3" s="5"/>
      <c r="BL3" s="5"/>
      <c r="BM3" s="5"/>
      <c r="BN3" s="5"/>
      <c r="BO3" s="5"/>
      <c r="BP3" s="4">
        <v>0.0</v>
      </c>
      <c r="BQ3" s="4" t="s">
        <v>147</v>
      </c>
      <c r="BR3" s="5"/>
      <c r="BS3" s="4" t="s">
        <v>147</v>
      </c>
      <c r="BT3" s="5"/>
      <c r="BU3" s="5"/>
      <c r="BV3" s="5"/>
      <c r="BW3" s="5"/>
      <c r="BX3" s="5"/>
      <c r="BY3" s="5"/>
      <c r="BZ3" s="5"/>
      <c r="CA3" s="5"/>
      <c r="CB3" s="5"/>
      <c r="CC3" s="5"/>
      <c r="CD3" s="7">
        <v>12.0</v>
      </c>
      <c r="CE3" s="4" t="s">
        <v>144</v>
      </c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7">
        <v>1.2</v>
      </c>
      <c r="DH3" s="4" t="s">
        <v>144</v>
      </c>
      <c r="DI3" s="5"/>
      <c r="DJ3" s="5"/>
      <c r="DK3" s="7">
        <v>0.9</v>
      </c>
      <c r="DL3" s="4" t="s">
        <v>144</v>
      </c>
      <c r="DM3" s="5"/>
      <c r="DN3" s="5"/>
      <c r="DO3" s="5"/>
      <c r="DP3" s="5"/>
      <c r="DQ3" s="5"/>
      <c r="DR3" s="5"/>
      <c r="DS3" s="5"/>
      <c r="DT3" s="5"/>
      <c r="DU3" s="7">
        <v>1.0</v>
      </c>
      <c r="DV3" s="4" t="s">
        <v>144</v>
      </c>
      <c r="DW3" s="5"/>
      <c r="DX3" s="5"/>
      <c r="DY3" s="5"/>
      <c r="DZ3" s="5"/>
      <c r="EA3" s="5"/>
      <c r="EB3" s="5"/>
    </row>
    <row r="4" ht="14.25" customHeight="1">
      <c r="A4" s="4" t="s">
        <v>151</v>
      </c>
      <c r="B4" s="4" t="s">
        <v>133</v>
      </c>
      <c r="C4" s="4" t="s">
        <v>134</v>
      </c>
      <c r="D4" s="4" t="s">
        <v>135</v>
      </c>
      <c r="E4" s="5"/>
      <c r="F4" s="5"/>
      <c r="G4" s="4" t="s">
        <v>136</v>
      </c>
      <c r="H4" s="6" t="s">
        <v>137</v>
      </c>
      <c r="I4" s="5"/>
      <c r="J4" s="5"/>
      <c r="K4" s="5"/>
      <c r="L4" s="4" t="s">
        <v>138</v>
      </c>
      <c r="M4" s="5"/>
      <c r="N4" s="5"/>
      <c r="O4" s="4">
        <v>0.2</v>
      </c>
      <c r="P4" s="4">
        <v>0.2</v>
      </c>
      <c r="Q4" s="4" t="s">
        <v>139</v>
      </c>
      <c r="R4" s="4">
        <v>40.0</v>
      </c>
      <c r="S4" s="4">
        <v>28.0</v>
      </c>
      <c r="T4" s="4">
        <v>5.0</v>
      </c>
      <c r="U4" s="4" t="s">
        <v>140</v>
      </c>
      <c r="V4" s="5"/>
      <c r="W4" s="5"/>
      <c r="X4" s="5"/>
      <c r="Y4" s="5"/>
      <c r="Z4" s="5"/>
      <c r="AA4" s="5"/>
      <c r="AB4" s="5"/>
      <c r="AC4" s="5"/>
      <c r="AD4" s="5"/>
      <c r="AE4" s="4" t="s">
        <v>139</v>
      </c>
      <c r="AF4" s="5"/>
      <c r="AG4" s="5"/>
      <c r="AH4" s="5"/>
      <c r="AI4" s="4" t="s">
        <v>140</v>
      </c>
      <c r="AJ4" s="4" t="s">
        <v>141</v>
      </c>
      <c r="AK4" s="4" t="s">
        <v>142</v>
      </c>
      <c r="AL4" s="4" t="s">
        <v>143</v>
      </c>
      <c r="AM4" s="4">
        <v>15.0</v>
      </c>
      <c r="AN4" s="7">
        <v>12.0</v>
      </c>
      <c r="AO4" s="4" t="s">
        <v>144</v>
      </c>
      <c r="AP4" s="4">
        <v>1.0</v>
      </c>
      <c r="AQ4" s="4">
        <v>0.0</v>
      </c>
      <c r="AR4" s="4">
        <v>0.0</v>
      </c>
      <c r="AS4" s="5"/>
      <c r="AT4" s="4" t="s">
        <v>145</v>
      </c>
      <c r="AU4" s="4" t="s">
        <v>133</v>
      </c>
      <c r="AV4" s="5"/>
      <c r="AW4" s="4" t="s">
        <v>146</v>
      </c>
      <c r="AX4" s="4">
        <v>1.0</v>
      </c>
      <c r="AY4" s="4" t="s">
        <v>147</v>
      </c>
      <c r="AZ4" s="5"/>
      <c r="BA4" s="5"/>
      <c r="BB4" s="5"/>
      <c r="BC4" s="4">
        <v>0.0</v>
      </c>
      <c r="BD4" s="4" t="s">
        <v>148</v>
      </c>
      <c r="BE4" s="4" t="s">
        <v>149</v>
      </c>
      <c r="BF4" s="5"/>
      <c r="BG4" s="5"/>
      <c r="BH4" s="5"/>
      <c r="BI4" s="5"/>
      <c r="BJ4" s="5"/>
      <c r="BK4" s="5"/>
      <c r="BL4" s="5"/>
      <c r="BM4" s="5"/>
      <c r="BN4" s="5"/>
      <c r="BO4" s="5"/>
      <c r="BP4" s="4">
        <v>0.0</v>
      </c>
      <c r="BQ4" s="4" t="s">
        <v>147</v>
      </c>
      <c r="BR4" s="5"/>
      <c r="BS4" s="4" t="s">
        <v>147</v>
      </c>
      <c r="BT4" s="5"/>
      <c r="BU4" s="5"/>
      <c r="BV4" s="5"/>
      <c r="BW4" s="5"/>
      <c r="BX4" s="5"/>
      <c r="BY4" s="5"/>
      <c r="BZ4" s="5"/>
      <c r="CA4" s="5"/>
      <c r="CB4" s="5"/>
      <c r="CC4" s="5"/>
      <c r="CD4" s="7">
        <v>12.0</v>
      </c>
      <c r="CE4" s="4" t="s">
        <v>144</v>
      </c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7">
        <v>1.2</v>
      </c>
      <c r="DH4" s="4" t="s">
        <v>144</v>
      </c>
      <c r="DI4" s="5"/>
      <c r="DJ4" s="5"/>
      <c r="DK4" s="7">
        <v>0.9</v>
      </c>
      <c r="DL4" s="4" t="s">
        <v>144</v>
      </c>
      <c r="DM4" s="5"/>
      <c r="DN4" s="5"/>
      <c r="DO4" s="5"/>
      <c r="DP4" s="5"/>
      <c r="DQ4" s="5"/>
      <c r="DR4" s="5"/>
      <c r="DS4" s="5"/>
      <c r="DT4" s="5"/>
      <c r="DU4" s="7">
        <v>1.0</v>
      </c>
      <c r="DV4" s="4" t="s">
        <v>144</v>
      </c>
      <c r="DW4" s="5"/>
      <c r="DX4" s="5"/>
      <c r="DY4" s="5"/>
      <c r="DZ4" s="5"/>
      <c r="EA4" s="5"/>
      <c r="EB4" s="5"/>
    </row>
    <row r="5" ht="14.25" customHeight="1">
      <c r="A5" s="4" t="s">
        <v>152</v>
      </c>
      <c r="B5" s="4" t="s">
        <v>133</v>
      </c>
      <c r="C5" s="4" t="s">
        <v>134</v>
      </c>
      <c r="D5" s="4" t="s">
        <v>135</v>
      </c>
      <c r="E5" s="5"/>
      <c r="F5" s="5"/>
      <c r="G5" s="4" t="s">
        <v>136</v>
      </c>
      <c r="H5" s="6" t="s">
        <v>137</v>
      </c>
      <c r="I5" s="5"/>
      <c r="J5" s="5"/>
      <c r="K5" s="5"/>
      <c r="L5" s="4" t="s">
        <v>138</v>
      </c>
      <c r="M5" s="5"/>
      <c r="N5" s="5"/>
      <c r="O5" s="4">
        <v>0.2</v>
      </c>
      <c r="P5" s="4">
        <v>0.2</v>
      </c>
      <c r="Q5" s="4" t="s">
        <v>139</v>
      </c>
      <c r="R5" s="4">
        <v>40.0</v>
      </c>
      <c r="S5" s="4">
        <v>28.0</v>
      </c>
      <c r="T5" s="4">
        <v>5.0</v>
      </c>
      <c r="U5" s="4" t="s">
        <v>140</v>
      </c>
      <c r="V5" s="5"/>
      <c r="W5" s="5"/>
      <c r="X5" s="5"/>
      <c r="Y5" s="5"/>
      <c r="Z5" s="5"/>
      <c r="AA5" s="5"/>
      <c r="AB5" s="5"/>
      <c r="AC5" s="5"/>
      <c r="AD5" s="5"/>
      <c r="AE5" s="4" t="s">
        <v>139</v>
      </c>
      <c r="AF5" s="5"/>
      <c r="AG5" s="5"/>
      <c r="AH5" s="5"/>
      <c r="AI5" s="4" t="s">
        <v>140</v>
      </c>
      <c r="AJ5" s="4" t="s">
        <v>141</v>
      </c>
      <c r="AK5" s="4" t="s">
        <v>142</v>
      </c>
      <c r="AL5" s="4" t="s">
        <v>143</v>
      </c>
      <c r="AM5" s="4">
        <v>15.0</v>
      </c>
      <c r="AN5" s="7">
        <v>12.0</v>
      </c>
      <c r="AO5" s="4" t="s">
        <v>144</v>
      </c>
      <c r="AP5" s="4">
        <v>1.0</v>
      </c>
      <c r="AQ5" s="4">
        <v>0.0</v>
      </c>
      <c r="AR5" s="4">
        <v>0.0</v>
      </c>
      <c r="AS5" s="5"/>
      <c r="AT5" s="4" t="s">
        <v>145</v>
      </c>
      <c r="AU5" s="4" t="s">
        <v>133</v>
      </c>
      <c r="AV5" s="5"/>
      <c r="AW5" s="4" t="s">
        <v>146</v>
      </c>
      <c r="AX5" s="4">
        <v>1.0</v>
      </c>
      <c r="AY5" s="4" t="s">
        <v>147</v>
      </c>
      <c r="AZ5" s="5"/>
      <c r="BA5" s="5"/>
      <c r="BB5" s="5"/>
      <c r="BC5" s="4">
        <v>0.0</v>
      </c>
      <c r="BD5" s="4" t="s">
        <v>148</v>
      </c>
      <c r="BE5" s="4" t="s">
        <v>149</v>
      </c>
      <c r="BF5" s="5"/>
      <c r="BG5" s="5"/>
      <c r="BH5" s="5"/>
      <c r="BI5" s="5"/>
      <c r="BJ5" s="5"/>
      <c r="BK5" s="5"/>
      <c r="BL5" s="5"/>
      <c r="BM5" s="5"/>
      <c r="BN5" s="5"/>
      <c r="BO5" s="5"/>
      <c r="BP5" s="4">
        <v>0.0</v>
      </c>
      <c r="BQ5" s="4" t="s">
        <v>147</v>
      </c>
      <c r="BR5" s="5"/>
      <c r="BS5" s="4" t="s">
        <v>147</v>
      </c>
      <c r="BT5" s="5"/>
      <c r="BU5" s="5"/>
      <c r="BV5" s="5"/>
      <c r="BW5" s="5"/>
      <c r="BX5" s="5"/>
      <c r="BY5" s="5"/>
      <c r="BZ5" s="5"/>
      <c r="CA5" s="5"/>
      <c r="CB5" s="5"/>
      <c r="CC5" s="5"/>
      <c r="CD5" s="7">
        <v>12.0</v>
      </c>
      <c r="CE5" s="4" t="s">
        <v>144</v>
      </c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7">
        <v>1.2</v>
      </c>
      <c r="DH5" s="4" t="s">
        <v>144</v>
      </c>
      <c r="DI5" s="5"/>
      <c r="DJ5" s="5"/>
      <c r="DK5" s="7">
        <v>0.9</v>
      </c>
      <c r="DL5" s="4" t="s">
        <v>144</v>
      </c>
      <c r="DM5" s="5"/>
      <c r="DN5" s="5"/>
      <c r="DO5" s="5"/>
      <c r="DP5" s="5"/>
      <c r="DQ5" s="5"/>
      <c r="DR5" s="5"/>
      <c r="DS5" s="5"/>
      <c r="DT5" s="5"/>
      <c r="DU5" s="7">
        <v>1.0</v>
      </c>
      <c r="DV5" s="4" t="s">
        <v>144</v>
      </c>
      <c r="DW5" s="5"/>
      <c r="DX5" s="5"/>
      <c r="DY5" s="5"/>
      <c r="DZ5" s="5"/>
      <c r="EA5" s="5"/>
      <c r="EB5" s="5"/>
    </row>
    <row r="6" ht="14.25" customHeight="1">
      <c r="A6" s="4" t="s">
        <v>153</v>
      </c>
      <c r="B6" s="4" t="s">
        <v>133</v>
      </c>
      <c r="C6" s="4" t="s">
        <v>134</v>
      </c>
      <c r="D6" s="4" t="s">
        <v>135</v>
      </c>
      <c r="E6" s="5"/>
      <c r="F6" s="5"/>
      <c r="G6" s="4" t="s">
        <v>136</v>
      </c>
      <c r="H6" s="6" t="s">
        <v>137</v>
      </c>
      <c r="I6" s="5"/>
      <c r="J6" s="5"/>
      <c r="K6" s="5"/>
      <c r="L6" s="4" t="s">
        <v>138</v>
      </c>
      <c r="M6" s="5"/>
      <c r="N6" s="5"/>
      <c r="O6" s="4">
        <v>0.2</v>
      </c>
      <c r="P6" s="4">
        <v>0.2</v>
      </c>
      <c r="Q6" s="4" t="s">
        <v>139</v>
      </c>
      <c r="R6" s="4">
        <v>40.0</v>
      </c>
      <c r="S6" s="4">
        <v>28.0</v>
      </c>
      <c r="T6" s="4">
        <v>5.0</v>
      </c>
      <c r="U6" s="4" t="s">
        <v>140</v>
      </c>
      <c r="V6" s="5"/>
      <c r="W6" s="5"/>
      <c r="X6" s="5"/>
      <c r="Y6" s="5"/>
      <c r="Z6" s="5"/>
      <c r="AA6" s="5"/>
      <c r="AB6" s="5"/>
      <c r="AC6" s="5"/>
      <c r="AD6" s="5"/>
      <c r="AE6" s="4" t="s">
        <v>139</v>
      </c>
      <c r="AF6" s="5"/>
      <c r="AG6" s="5"/>
      <c r="AH6" s="5"/>
      <c r="AI6" s="4" t="s">
        <v>140</v>
      </c>
      <c r="AJ6" s="4" t="s">
        <v>141</v>
      </c>
      <c r="AK6" s="4" t="s">
        <v>142</v>
      </c>
      <c r="AL6" s="4" t="s">
        <v>143</v>
      </c>
      <c r="AM6" s="4">
        <v>15.0</v>
      </c>
      <c r="AN6" s="7">
        <v>12.0</v>
      </c>
      <c r="AO6" s="4" t="s">
        <v>144</v>
      </c>
      <c r="AP6" s="4">
        <v>1.0</v>
      </c>
      <c r="AQ6" s="4">
        <v>0.0</v>
      </c>
      <c r="AR6" s="4">
        <v>0.0</v>
      </c>
      <c r="AS6" s="5"/>
      <c r="AT6" s="4" t="s">
        <v>145</v>
      </c>
      <c r="AU6" s="4" t="s">
        <v>133</v>
      </c>
      <c r="AV6" s="5"/>
      <c r="AW6" s="4" t="s">
        <v>146</v>
      </c>
      <c r="AX6" s="4">
        <v>1.0</v>
      </c>
      <c r="AY6" s="4" t="s">
        <v>147</v>
      </c>
      <c r="AZ6" s="5"/>
      <c r="BA6" s="5"/>
      <c r="BB6" s="5"/>
      <c r="BC6" s="4">
        <v>0.0</v>
      </c>
      <c r="BD6" s="4" t="s">
        <v>148</v>
      </c>
      <c r="BE6" s="4" t="s">
        <v>149</v>
      </c>
      <c r="BF6" s="5"/>
      <c r="BG6" s="5"/>
      <c r="BH6" s="5"/>
      <c r="BI6" s="5"/>
      <c r="BJ6" s="5"/>
      <c r="BK6" s="5"/>
      <c r="BL6" s="5"/>
      <c r="BM6" s="5"/>
      <c r="BN6" s="5"/>
      <c r="BO6" s="5"/>
      <c r="BP6" s="4">
        <v>0.0</v>
      </c>
      <c r="BQ6" s="4" t="s">
        <v>147</v>
      </c>
      <c r="BR6" s="5"/>
      <c r="BS6" s="4" t="s">
        <v>147</v>
      </c>
      <c r="BT6" s="5"/>
      <c r="BU6" s="5"/>
      <c r="BV6" s="5"/>
      <c r="BW6" s="5"/>
      <c r="BX6" s="5"/>
      <c r="BY6" s="5"/>
      <c r="BZ6" s="5"/>
      <c r="CA6" s="5"/>
      <c r="CB6" s="5"/>
      <c r="CC6" s="5"/>
      <c r="CD6" s="7">
        <v>12.0</v>
      </c>
      <c r="CE6" s="4" t="s">
        <v>144</v>
      </c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7">
        <v>1.2</v>
      </c>
      <c r="DH6" s="4" t="s">
        <v>144</v>
      </c>
      <c r="DI6" s="5"/>
      <c r="DJ6" s="5"/>
      <c r="DK6" s="7">
        <v>0.9</v>
      </c>
      <c r="DL6" s="4" t="s">
        <v>144</v>
      </c>
      <c r="DM6" s="5"/>
      <c r="DN6" s="5"/>
      <c r="DO6" s="5"/>
      <c r="DP6" s="5"/>
      <c r="DQ6" s="5"/>
      <c r="DR6" s="5"/>
      <c r="DS6" s="5"/>
      <c r="DT6" s="5"/>
      <c r="DU6" s="7">
        <v>1.0</v>
      </c>
      <c r="DV6" s="4" t="s">
        <v>144</v>
      </c>
      <c r="DW6" s="5"/>
      <c r="DX6" s="5"/>
      <c r="DY6" s="5"/>
      <c r="DZ6" s="5"/>
      <c r="EA6" s="5"/>
      <c r="EB6" s="5"/>
    </row>
    <row r="7" ht="14.25" customHeight="1">
      <c r="A7" s="4" t="s">
        <v>154</v>
      </c>
      <c r="B7" s="4" t="s">
        <v>133</v>
      </c>
      <c r="C7" s="4" t="s">
        <v>134</v>
      </c>
      <c r="D7" s="4" t="s">
        <v>135</v>
      </c>
      <c r="E7" s="5"/>
      <c r="F7" s="5"/>
      <c r="G7" s="4" t="s">
        <v>155</v>
      </c>
      <c r="H7" s="6" t="s">
        <v>137</v>
      </c>
      <c r="I7" s="5"/>
      <c r="J7" s="5"/>
      <c r="K7" s="5"/>
      <c r="L7" s="4" t="s">
        <v>138</v>
      </c>
      <c r="M7" s="5"/>
      <c r="N7" s="5"/>
      <c r="O7" s="4">
        <v>0.2</v>
      </c>
      <c r="P7" s="4">
        <v>0.2</v>
      </c>
      <c r="Q7" s="4" t="s">
        <v>139</v>
      </c>
      <c r="R7" s="4">
        <v>40.0</v>
      </c>
      <c r="S7" s="4">
        <v>28.0</v>
      </c>
      <c r="T7" s="4">
        <v>5.0</v>
      </c>
      <c r="U7" s="4" t="s">
        <v>140</v>
      </c>
      <c r="V7" s="5"/>
      <c r="W7" s="5"/>
      <c r="X7" s="5"/>
      <c r="Y7" s="5"/>
      <c r="Z7" s="5"/>
      <c r="AA7" s="5"/>
      <c r="AB7" s="5"/>
      <c r="AC7" s="5"/>
      <c r="AD7" s="5"/>
      <c r="AE7" s="4" t="s">
        <v>139</v>
      </c>
      <c r="AF7" s="5"/>
      <c r="AG7" s="5"/>
      <c r="AH7" s="5"/>
      <c r="AI7" s="4" t="s">
        <v>140</v>
      </c>
      <c r="AJ7" s="4" t="s">
        <v>141</v>
      </c>
      <c r="AK7" s="4" t="s">
        <v>142</v>
      </c>
      <c r="AL7" s="4" t="s">
        <v>143</v>
      </c>
      <c r="AM7" s="4">
        <v>15.0</v>
      </c>
      <c r="AN7" s="7">
        <v>12.0</v>
      </c>
      <c r="AO7" s="4" t="s">
        <v>144</v>
      </c>
      <c r="AP7" s="4">
        <v>1.0</v>
      </c>
      <c r="AQ7" s="4">
        <v>0.0</v>
      </c>
      <c r="AR7" s="4">
        <v>0.0</v>
      </c>
      <c r="AS7" s="5"/>
      <c r="AT7" s="4" t="s">
        <v>145</v>
      </c>
      <c r="AU7" s="4" t="s">
        <v>133</v>
      </c>
      <c r="AV7" s="5"/>
      <c r="AW7" s="4" t="s">
        <v>146</v>
      </c>
      <c r="AX7" s="4">
        <v>1.0</v>
      </c>
      <c r="AY7" s="4" t="s">
        <v>147</v>
      </c>
      <c r="AZ7" s="5"/>
      <c r="BA7" s="5"/>
      <c r="BB7" s="5"/>
      <c r="BC7" s="4">
        <v>0.0</v>
      </c>
      <c r="BD7" s="4" t="s">
        <v>148</v>
      </c>
      <c r="BE7" s="4" t="s">
        <v>149</v>
      </c>
      <c r="BF7" s="5"/>
      <c r="BG7" s="5"/>
      <c r="BH7" s="5"/>
      <c r="BI7" s="5"/>
      <c r="BJ7" s="5"/>
      <c r="BK7" s="5"/>
      <c r="BL7" s="5"/>
      <c r="BM7" s="5"/>
      <c r="BN7" s="5"/>
      <c r="BO7" s="5"/>
      <c r="BP7" s="4">
        <v>0.0</v>
      </c>
      <c r="BQ7" s="4" t="s">
        <v>147</v>
      </c>
      <c r="BR7" s="5"/>
      <c r="BS7" s="4" t="s">
        <v>147</v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7">
        <v>12.0</v>
      </c>
      <c r="CE7" s="4" t="s">
        <v>144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7">
        <v>1.2</v>
      </c>
      <c r="DH7" s="4" t="s">
        <v>144</v>
      </c>
      <c r="DI7" s="5"/>
      <c r="DJ7" s="5"/>
      <c r="DK7" s="7">
        <v>0.9</v>
      </c>
      <c r="DL7" s="4" t="s">
        <v>144</v>
      </c>
      <c r="DM7" s="5"/>
      <c r="DN7" s="5"/>
      <c r="DO7" s="5"/>
      <c r="DP7" s="5"/>
      <c r="DQ7" s="5"/>
      <c r="DR7" s="5"/>
      <c r="DS7" s="5"/>
      <c r="DT7" s="5"/>
      <c r="DU7" s="7">
        <v>1.0</v>
      </c>
      <c r="DV7" s="4" t="s">
        <v>144</v>
      </c>
      <c r="DW7" s="5"/>
      <c r="DX7" s="5"/>
      <c r="DY7" s="5"/>
      <c r="DZ7" s="5"/>
      <c r="EA7" s="5"/>
      <c r="EB7" s="5"/>
    </row>
    <row r="8" ht="14.25" customHeight="1">
      <c r="A8" s="4" t="s">
        <v>156</v>
      </c>
      <c r="B8" s="4" t="s">
        <v>133</v>
      </c>
      <c r="C8" s="4" t="s">
        <v>134</v>
      </c>
      <c r="D8" s="4" t="s">
        <v>135</v>
      </c>
      <c r="E8" s="5"/>
      <c r="F8" s="5"/>
      <c r="G8" s="4" t="s">
        <v>155</v>
      </c>
      <c r="H8" s="6" t="s">
        <v>137</v>
      </c>
      <c r="I8" s="5"/>
      <c r="J8" s="5"/>
      <c r="K8" s="5"/>
      <c r="L8" s="4" t="s">
        <v>138</v>
      </c>
      <c r="M8" s="5"/>
      <c r="N8" s="5"/>
      <c r="O8" s="4">
        <v>0.2</v>
      </c>
      <c r="P8" s="4">
        <v>0.2</v>
      </c>
      <c r="Q8" s="4" t="s">
        <v>139</v>
      </c>
      <c r="R8" s="4">
        <v>40.0</v>
      </c>
      <c r="S8" s="4">
        <v>28.0</v>
      </c>
      <c r="T8" s="4">
        <v>5.0</v>
      </c>
      <c r="U8" s="4" t="s">
        <v>140</v>
      </c>
      <c r="V8" s="5"/>
      <c r="W8" s="5"/>
      <c r="X8" s="5"/>
      <c r="Y8" s="5"/>
      <c r="Z8" s="5"/>
      <c r="AA8" s="5"/>
      <c r="AB8" s="5"/>
      <c r="AC8" s="5"/>
      <c r="AD8" s="5"/>
      <c r="AE8" s="4" t="s">
        <v>139</v>
      </c>
      <c r="AF8" s="5"/>
      <c r="AG8" s="5"/>
      <c r="AH8" s="5"/>
      <c r="AI8" s="4" t="s">
        <v>140</v>
      </c>
      <c r="AJ8" s="4" t="s">
        <v>141</v>
      </c>
      <c r="AK8" s="4" t="s">
        <v>142</v>
      </c>
      <c r="AL8" s="4" t="s">
        <v>143</v>
      </c>
      <c r="AM8" s="4">
        <v>15.0</v>
      </c>
      <c r="AN8" s="7">
        <v>12.0</v>
      </c>
      <c r="AO8" s="4" t="s">
        <v>144</v>
      </c>
      <c r="AP8" s="4">
        <v>1.0</v>
      </c>
      <c r="AQ8" s="4">
        <v>0.0</v>
      </c>
      <c r="AR8" s="4">
        <v>0.0</v>
      </c>
      <c r="AS8" s="5"/>
      <c r="AT8" s="4" t="s">
        <v>145</v>
      </c>
      <c r="AU8" s="4" t="s">
        <v>133</v>
      </c>
      <c r="AV8" s="5"/>
      <c r="AW8" s="4" t="s">
        <v>146</v>
      </c>
      <c r="AX8" s="4">
        <v>1.0</v>
      </c>
      <c r="AY8" s="4" t="s">
        <v>147</v>
      </c>
      <c r="AZ8" s="5"/>
      <c r="BA8" s="5"/>
      <c r="BB8" s="5"/>
      <c r="BC8" s="4">
        <v>0.0</v>
      </c>
      <c r="BD8" s="4" t="s">
        <v>148</v>
      </c>
      <c r="BE8" s="4" t="s">
        <v>149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4">
        <v>0.0</v>
      </c>
      <c r="BQ8" s="4" t="s">
        <v>147</v>
      </c>
      <c r="BR8" s="5"/>
      <c r="BS8" s="4" t="s">
        <v>147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7">
        <v>12.0</v>
      </c>
      <c r="CE8" s="4" t="s">
        <v>144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7">
        <v>1.2</v>
      </c>
      <c r="DH8" s="4" t="s">
        <v>144</v>
      </c>
      <c r="DI8" s="5"/>
      <c r="DJ8" s="5"/>
      <c r="DK8" s="7">
        <v>0.9</v>
      </c>
      <c r="DL8" s="4" t="s">
        <v>144</v>
      </c>
      <c r="DM8" s="5"/>
      <c r="DN8" s="5"/>
      <c r="DO8" s="5"/>
      <c r="DP8" s="5"/>
      <c r="DQ8" s="5"/>
      <c r="DR8" s="5"/>
      <c r="DS8" s="5"/>
      <c r="DT8" s="5"/>
      <c r="DU8" s="7">
        <v>1.0</v>
      </c>
      <c r="DV8" s="4" t="s">
        <v>144</v>
      </c>
      <c r="DW8" s="5"/>
      <c r="DX8" s="5"/>
      <c r="DY8" s="5"/>
      <c r="DZ8" s="5"/>
      <c r="EA8" s="5"/>
      <c r="EB8" s="5"/>
    </row>
    <row r="9" ht="14.25" customHeight="1">
      <c r="A9" s="4" t="s">
        <v>157</v>
      </c>
      <c r="B9" s="4" t="s">
        <v>133</v>
      </c>
      <c r="C9" s="4" t="s">
        <v>134</v>
      </c>
      <c r="D9" s="4" t="s">
        <v>135</v>
      </c>
      <c r="E9" s="5"/>
      <c r="F9" s="5"/>
      <c r="G9" s="4" t="s">
        <v>155</v>
      </c>
      <c r="H9" s="6" t="s">
        <v>137</v>
      </c>
      <c r="I9" s="5"/>
      <c r="J9" s="5"/>
      <c r="K9" s="5"/>
      <c r="L9" s="4" t="s">
        <v>138</v>
      </c>
      <c r="M9" s="5"/>
      <c r="N9" s="5"/>
      <c r="O9" s="4">
        <v>0.2</v>
      </c>
      <c r="P9" s="4">
        <v>0.2</v>
      </c>
      <c r="Q9" s="4" t="s">
        <v>139</v>
      </c>
      <c r="R9" s="4">
        <v>40.0</v>
      </c>
      <c r="S9" s="4">
        <v>28.0</v>
      </c>
      <c r="T9" s="4">
        <v>5.0</v>
      </c>
      <c r="U9" s="4" t="s">
        <v>140</v>
      </c>
      <c r="V9" s="5"/>
      <c r="W9" s="5"/>
      <c r="X9" s="5"/>
      <c r="Y9" s="5"/>
      <c r="Z9" s="5"/>
      <c r="AA9" s="5"/>
      <c r="AB9" s="5"/>
      <c r="AC9" s="5"/>
      <c r="AD9" s="5"/>
      <c r="AE9" s="4" t="s">
        <v>139</v>
      </c>
      <c r="AF9" s="5"/>
      <c r="AG9" s="5"/>
      <c r="AH9" s="5"/>
      <c r="AI9" s="4" t="s">
        <v>140</v>
      </c>
      <c r="AJ9" s="4" t="s">
        <v>141</v>
      </c>
      <c r="AK9" s="4" t="s">
        <v>142</v>
      </c>
      <c r="AL9" s="4" t="s">
        <v>143</v>
      </c>
      <c r="AM9" s="4">
        <v>15.0</v>
      </c>
      <c r="AN9" s="7">
        <v>12.0</v>
      </c>
      <c r="AO9" s="4" t="s">
        <v>144</v>
      </c>
      <c r="AP9" s="4">
        <v>1.0</v>
      </c>
      <c r="AQ9" s="4">
        <v>0.0</v>
      </c>
      <c r="AR9" s="4">
        <v>0.0</v>
      </c>
      <c r="AS9" s="5"/>
      <c r="AT9" s="4" t="s">
        <v>145</v>
      </c>
      <c r="AU9" s="4" t="s">
        <v>133</v>
      </c>
      <c r="AV9" s="5"/>
      <c r="AW9" s="4" t="s">
        <v>146</v>
      </c>
      <c r="AX9" s="4">
        <v>1.0</v>
      </c>
      <c r="AY9" s="4" t="s">
        <v>147</v>
      </c>
      <c r="AZ9" s="5"/>
      <c r="BA9" s="5"/>
      <c r="BB9" s="5"/>
      <c r="BC9" s="4">
        <v>0.0</v>
      </c>
      <c r="BD9" s="4" t="s">
        <v>148</v>
      </c>
      <c r="BE9" s="4" t="s">
        <v>149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4">
        <v>0.0</v>
      </c>
      <c r="BQ9" s="4" t="s">
        <v>147</v>
      </c>
      <c r="BR9" s="5"/>
      <c r="BS9" s="4" t="s">
        <v>147</v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7">
        <v>12.0</v>
      </c>
      <c r="CE9" s="4" t="s">
        <v>144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7">
        <v>1.2</v>
      </c>
      <c r="DH9" s="4" t="s">
        <v>144</v>
      </c>
      <c r="DI9" s="5"/>
      <c r="DJ9" s="5"/>
      <c r="DK9" s="7">
        <v>0.9</v>
      </c>
      <c r="DL9" s="4" t="s">
        <v>144</v>
      </c>
      <c r="DM9" s="5"/>
      <c r="DN9" s="5"/>
      <c r="DO9" s="5"/>
      <c r="DP9" s="5"/>
      <c r="DQ9" s="5"/>
      <c r="DR9" s="5"/>
      <c r="DS9" s="5"/>
      <c r="DT9" s="5"/>
      <c r="DU9" s="7">
        <v>1.0</v>
      </c>
      <c r="DV9" s="4" t="s">
        <v>144</v>
      </c>
      <c r="DW9" s="5"/>
      <c r="DX9" s="5"/>
      <c r="DY9" s="5"/>
      <c r="DZ9" s="5"/>
      <c r="EA9" s="5"/>
      <c r="EB9" s="5"/>
    </row>
    <row r="10" ht="14.25" customHeight="1">
      <c r="A10" s="4" t="s">
        <v>158</v>
      </c>
      <c r="B10" s="4" t="s">
        <v>133</v>
      </c>
      <c r="C10" s="4" t="s">
        <v>134</v>
      </c>
      <c r="D10" s="4" t="s">
        <v>135</v>
      </c>
      <c r="E10" s="5"/>
      <c r="F10" s="5"/>
      <c r="G10" s="4" t="s">
        <v>155</v>
      </c>
      <c r="H10" s="6" t="s">
        <v>137</v>
      </c>
      <c r="I10" s="5"/>
      <c r="J10" s="5"/>
      <c r="K10" s="5"/>
      <c r="L10" s="4" t="s">
        <v>138</v>
      </c>
      <c r="M10" s="5"/>
      <c r="N10" s="5"/>
      <c r="O10" s="4">
        <v>0.2</v>
      </c>
      <c r="P10" s="4">
        <v>0.2</v>
      </c>
      <c r="Q10" s="4" t="s">
        <v>139</v>
      </c>
      <c r="R10" s="4">
        <v>40.0</v>
      </c>
      <c r="S10" s="4">
        <v>28.0</v>
      </c>
      <c r="T10" s="4">
        <v>5.0</v>
      </c>
      <c r="U10" s="4" t="s">
        <v>140</v>
      </c>
      <c r="V10" s="5"/>
      <c r="W10" s="5"/>
      <c r="X10" s="5"/>
      <c r="Y10" s="5"/>
      <c r="Z10" s="5"/>
      <c r="AA10" s="5"/>
      <c r="AB10" s="5"/>
      <c r="AC10" s="5"/>
      <c r="AD10" s="5"/>
      <c r="AE10" s="4" t="s">
        <v>139</v>
      </c>
      <c r="AF10" s="5"/>
      <c r="AG10" s="5"/>
      <c r="AH10" s="5"/>
      <c r="AI10" s="4" t="s">
        <v>140</v>
      </c>
      <c r="AJ10" s="4" t="s">
        <v>141</v>
      </c>
      <c r="AK10" s="4" t="s">
        <v>142</v>
      </c>
      <c r="AL10" s="4" t="s">
        <v>143</v>
      </c>
      <c r="AM10" s="4">
        <v>15.0</v>
      </c>
      <c r="AN10" s="7">
        <v>12.0</v>
      </c>
      <c r="AO10" s="4" t="s">
        <v>144</v>
      </c>
      <c r="AP10" s="4">
        <v>1.0</v>
      </c>
      <c r="AQ10" s="4">
        <v>0.0</v>
      </c>
      <c r="AR10" s="4">
        <v>0.0</v>
      </c>
      <c r="AS10" s="5"/>
      <c r="AT10" s="4" t="s">
        <v>145</v>
      </c>
      <c r="AU10" s="4" t="s">
        <v>133</v>
      </c>
      <c r="AV10" s="5"/>
      <c r="AW10" s="4" t="s">
        <v>146</v>
      </c>
      <c r="AX10" s="4">
        <v>1.0</v>
      </c>
      <c r="AY10" s="4" t="s">
        <v>147</v>
      </c>
      <c r="AZ10" s="5"/>
      <c r="BA10" s="5"/>
      <c r="BB10" s="5"/>
      <c r="BC10" s="4">
        <v>0.0</v>
      </c>
      <c r="BD10" s="4" t="s">
        <v>148</v>
      </c>
      <c r="BE10" s="4" t="s">
        <v>149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4">
        <v>0.0</v>
      </c>
      <c r="BQ10" s="4" t="s">
        <v>147</v>
      </c>
      <c r="BR10" s="5"/>
      <c r="BS10" s="4" t="s">
        <v>147</v>
      </c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7">
        <v>12.0</v>
      </c>
      <c r="CE10" s="4" t="s">
        <v>144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7">
        <v>1.2</v>
      </c>
      <c r="DH10" s="4" t="s">
        <v>144</v>
      </c>
      <c r="DI10" s="5"/>
      <c r="DJ10" s="5"/>
      <c r="DK10" s="7">
        <v>0.9</v>
      </c>
      <c r="DL10" s="4" t="s">
        <v>144</v>
      </c>
      <c r="DM10" s="5"/>
      <c r="DN10" s="5"/>
      <c r="DO10" s="5"/>
      <c r="DP10" s="5"/>
      <c r="DQ10" s="5"/>
      <c r="DR10" s="5"/>
      <c r="DS10" s="5"/>
      <c r="DT10" s="5"/>
      <c r="DU10" s="7">
        <v>1.0</v>
      </c>
      <c r="DV10" s="4" t="s">
        <v>144</v>
      </c>
      <c r="DW10" s="5"/>
      <c r="DX10" s="5"/>
      <c r="DY10" s="5"/>
      <c r="DZ10" s="5"/>
      <c r="EA10" s="5"/>
      <c r="EB10" s="5"/>
    </row>
    <row r="11" ht="14.25" customHeight="1">
      <c r="A11" s="4" t="s">
        <v>159</v>
      </c>
      <c r="B11" s="4" t="s">
        <v>133</v>
      </c>
      <c r="C11" s="4" t="s">
        <v>134</v>
      </c>
      <c r="D11" s="4" t="s">
        <v>135</v>
      </c>
      <c r="E11" s="5"/>
      <c r="F11" s="5"/>
      <c r="G11" s="4" t="s">
        <v>155</v>
      </c>
      <c r="H11" s="6" t="s">
        <v>137</v>
      </c>
      <c r="I11" s="5"/>
      <c r="J11" s="5"/>
      <c r="K11" s="5"/>
      <c r="L11" s="4" t="s">
        <v>138</v>
      </c>
      <c r="M11" s="5"/>
      <c r="N11" s="5"/>
      <c r="O11" s="4">
        <v>0.2</v>
      </c>
      <c r="P11" s="4">
        <v>0.2</v>
      </c>
      <c r="Q11" s="4" t="s">
        <v>139</v>
      </c>
      <c r="R11" s="4">
        <v>40.0</v>
      </c>
      <c r="S11" s="4">
        <v>28.0</v>
      </c>
      <c r="T11" s="4">
        <v>5.0</v>
      </c>
      <c r="U11" s="4" t="s">
        <v>140</v>
      </c>
      <c r="V11" s="5"/>
      <c r="W11" s="5"/>
      <c r="X11" s="5"/>
      <c r="Y11" s="5"/>
      <c r="Z11" s="5"/>
      <c r="AA11" s="5"/>
      <c r="AB11" s="5"/>
      <c r="AC11" s="5"/>
      <c r="AD11" s="5"/>
      <c r="AE11" s="4" t="s">
        <v>139</v>
      </c>
      <c r="AF11" s="5"/>
      <c r="AG11" s="5"/>
      <c r="AH11" s="5"/>
      <c r="AI11" s="4" t="s">
        <v>140</v>
      </c>
      <c r="AJ11" s="4" t="s">
        <v>141</v>
      </c>
      <c r="AK11" s="4" t="s">
        <v>142</v>
      </c>
      <c r="AL11" s="4" t="s">
        <v>143</v>
      </c>
      <c r="AM11" s="4">
        <v>15.0</v>
      </c>
      <c r="AN11" s="7">
        <v>8.0</v>
      </c>
      <c r="AO11" s="4" t="s">
        <v>144</v>
      </c>
      <c r="AP11" s="4">
        <v>1.0</v>
      </c>
      <c r="AQ11" s="4">
        <v>0.0</v>
      </c>
      <c r="AR11" s="4">
        <v>0.0</v>
      </c>
      <c r="AS11" s="5"/>
      <c r="AT11" s="4" t="s">
        <v>145</v>
      </c>
      <c r="AU11" s="4" t="s">
        <v>133</v>
      </c>
      <c r="AV11" s="5"/>
      <c r="AW11" s="4" t="s">
        <v>146</v>
      </c>
      <c r="AX11" s="4">
        <v>1.0</v>
      </c>
      <c r="AY11" s="4" t="s">
        <v>147</v>
      </c>
      <c r="AZ11" s="5"/>
      <c r="BA11" s="5"/>
      <c r="BB11" s="5"/>
      <c r="BC11" s="4">
        <v>0.0</v>
      </c>
      <c r="BD11" s="4" t="s">
        <v>148</v>
      </c>
      <c r="BE11" s="4" t="s">
        <v>149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4">
        <v>0.0</v>
      </c>
      <c r="BQ11" s="4" t="s">
        <v>147</v>
      </c>
      <c r="BR11" s="5"/>
      <c r="BS11" s="4" t="s">
        <v>147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7">
        <v>12.0</v>
      </c>
      <c r="CE11" s="4" t="s">
        <v>144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7">
        <v>1.2</v>
      </c>
      <c r="DH11" s="4" t="s">
        <v>144</v>
      </c>
      <c r="DI11" s="5"/>
      <c r="DJ11" s="5"/>
      <c r="DK11" s="7">
        <v>0.9</v>
      </c>
      <c r="DL11" s="4" t="s">
        <v>144</v>
      </c>
      <c r="DM11" s="5"/>
      <c r="DN11" s="5"/>
      <c r="DO11" s="5"/>
      <c r="DP11" s="5"/>
      <c r="DQ11" s="5"/>
      <c r="DR11" s="5"/>
      <c r="DS11" s="5"/>
      <c r="DT11" s="5"/>
      <c r="DU11" s="7">
        <v>1.0</v>
      </c>
      <c r="DV11" s="4" t="s">
        <v>144</v>
      </c>
      <c r="DW11" s="5"/>
      <c r="DX11" s="5"/>
      <c r="DY11" s="5"/>
      <c r="DZ11" s="5"/>
      <c r="EA11" s="5"/>
      <c r="EB11" s="5"/>
    </row>
    <row r="12" ht="14.25" customHeight="1">
      <c r="A12" s="4" t="s">
        <v>160</v>
      </c>
      <c r="B12" s="4" t="s">
        <v>161</v>
      </c>
      <c r="C12" s="4" t="s">
        <v>134</v>
      </c>
      <c r="D12" s="4" t="s">
        <v>135</v>
      </c>
      <c r="E12" s="5"/>
      <c r="F12" s="5"/>
      <c r="G12" s="4" t="s">
        <v>155</v>
      </c>
      <c r="H12" s="6" t="s">
        <v>137</v>
      </c>
      <c r="I12" s="5"/>
      <c r="J12" s="5"/>
      <c r="K12" s="5"/>
      <c r="L12" s="4" t="s">
        <v>138</v>
      </c>
      <c r="M12" s="5"/>
      <c r="N12" s="5"/>
      <c r="O12" s="4">
        <v>0.2</v>
      </c>
      <c r="P12" s="4">
        <v>0.2</v>
      </c>
      <c r="Q12" s="4" t="s">
        <v>139</v>
      </c>
      <c r="R12" s="4">
        <v>40.0</v>
      </c>
      <c r="S12" s="4">
        <v>28.0</v>
      </c>
      <c r="T12" s="4">
        <v>5.0</v>
      </c>
      <c r="U12" s="4" t="s">
        <v>140</v>
      </c>
      <c r="V12" s="5"/>
      <c r="W12" s="5"/>
      <c r="X12" s="5"/>
      <c r="Y12" s="5"/>
      <c r="Z12" s="5"/>
      <c r="AA12" s="5"/>
      <c r="AB12" s="5"/>
      <c r="AC12" s="5"/>
      <c r="AD12" s="5"/>
      <c r="AE12" s="4" t="s">
        <v>139</v>
      </c>
      <c r="AF12" s="5"/>
      <c r="AG12" s="5"/>
      <c r="AH12" s="5"/>
      <c r="AI12" s="4" t="s">
        <v>140</v>
      </c>
      <c r="AJ12" s="4" t="s">
        <v>141</v>
      </c>
      <c r="AK12" s="4" t="s">
        <v>142</v>
      </c>
      <c r="AL12" s="4" t="s">
        <v>143</v>
      </c>
      <c r="AM12" s="4">
        <v>15.0</v>
      </c>
      <c r="AN12" s="7">
        <v>10.0</v>
      </c>
      <c r="AO12" s="4" t="s">
        <v>144</v>
      </c>
      <c r="AP12" s="4">
        <v>1.0</v>
      </c>
      <c r="AQ12" s="4">
        <v>0.0</v>
      </c>
      <c r="AR12" s="4">
        <v>0.0</v>
      </c>
      <c r="AS12" s="5"/>
      <c r="AT12" s="4" t="s">
        <v>145</v>
      </c>
      <c r="AU12" s="4" t="s">
        <v>133</v>
      </c>
      <c r="AV12" s="5"/>
      <c r="AW12" s="4" t="s">
        <v>146</v>
      </c>
      <c r="AX12" s="4">
        <v>1.0</v>
      </c>
      <c r="AY12" s="4" t="s">
        <v>147</v>
      </c>
      <c r="AZ12" s="5"/>
      <c r="BA12" s="5"/>
      <c r="BB12" s="5"/>
      <c r="BC12" s="4">
        <v>0.0</v>
      </c>
      <c r="BD12" s="4" t="s">
        <v>148</v>
      </c>
      <c r="BE12" s="4" t="s">
        <v>149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4">
        <v>0.0</v>
      </c>
      <c r="BQ12" s="4" t="s">
        <v>147</v>
      </c>
      <c r="BR12" s="5"/>
      <c r="BS12" s="4" t="s">
        <v>147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7">
        <v>12.0</v>
      </c>
      <c r="CE12" s="4" t="s">
        <v>144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7">
        <v>1.2</v>
      </c>
      <c r="DH12" s="4" t="s">
        <v>144</v>
      </c>
      <c r="DI12" s="5"/>
      <c r="DJ12" s="5"/>
      <c r="DK12" s="7">
        <v>0.9</v>
      </c>
      <c r="DL12" s="4" t="s">
        <v>144</v>
      </c>
      <c r="DM12" s="5"/>
      <c r="DN12" s="5"/>
      <c r="DO12" s="5"/>
      <c r="DP12" s="5"/>
      <c r="DQ12" s="5"/>
      <c r="DR12" s="5"/>
      <c r="DS12" s="5"/>
      <c r="DT12" s="5"/>
      <c r="DU12" s="7">
        <v>1.0</v>
      </c>
      <c r="DV12" s="4" t="s">
        <v>144</v>
      </c>
      <c r="DW12" s="5"/>
      <c r="DX12" s="5"/>
      <c r="DY12" s="5"/>
      <c r="DZ12" s="5"/>
      <c r="EA12" s="5"/>
      <c r="EB12" s="5"/>
    </row>
    <row r="13" ht="14.25" customHeight="1">
      <c r="A13" s="4" t="s">
        <v>162</v>
      </c>
      <c r="B13" s="4" t="s">
        <v>161</v>
      </c>
      <c r="C13" s="4" t="s">
        <v>134</v>
      </c>
      <c r="D13" s="4" t="s">
        <v>135</v>
      </c>
      <c r="E13" s="5"/>
      <c r="F13" s="5"/>
      <c r="G13" s="4" t="s">
        <v>155</v>
      </c>
      <c r="H13" s="6" t="s">
        <v>137</v>
      </c>
      <c r="I13" s="5"/>
      <c r="J13" s="5"/>
      <c r="K13" s="5"/>
      <c r="L13" s="4" t="s">
        <v>138</v>
      </c>
      <c r="M13" s="5"/>
      <c r="N13" s="5"/>
      <c r="O13" s="4">
        <v>0.2</v>
      </c>
      <c r="P13" s="4">
        <v>0.2</v>
      </c>
      <c r="Q13" s="4" t="s">
        <v>139</v>
      </c>
      <c r="R13" s="4">
        <v>40.0</v>
      </c>
      <c r="S13" s="4">
        <v>28.0</v>
      </c>
      <c r="T13" s="4">
        <v>5.0</v>
      </c>
      <c r="U13" s="4" t="s">
        <v>140</v>
      </c>
      <c r="V13" s="5"/>
      <c r="W13" s="5"/>
      <c r="X13" s="5"/>
      <c r="Y13" s="5"/>
      <c r="Z13" s="5"/>
      <c r="AA13" s="5"/>
      <c r="AB13" s="5"/>
      <c r="AC13" s="5"/>
      <c r="AD13" s="5"/>
      <c r="AE13" s="4" t="s">
        <v>139</v>
      </c>
      <c r="AF13" s="5"/>
      <c r="AG13" s="5"/>
      <c r="AH13" s="5"/>
      <c r="AI13" s="4" t="s">
        <v>140</v>
      </c>
      <c r="AJ13" s="4" t="s">
        <v>141</v>
      </c>
      <c r="AK13" s="4" t="s">
        <v>142</v>
      </c>
      <c r="AL13" s="4" t="s">
        <v>143</v>
      </c>
      <c r="AM13" s="4">
        <v>15.0</v>
      </c>
      <c r="AN13" s="7">
        <v>11.0</v>
      </c>
      <c r="AO13" s="4" t="s">
        <v>144</v>
      </c>
      <c r="AP13" s="4">
        <v>1.0</v>
      </c>
      <c r="AQ13" s="4">
        <v>0.0</v>
      </c>
      <c r="AR13" s="4">
        <v>0.0</v>
      </c>
      <c r="AS13" s="5"/>
      <c r="AT13" s="4" t="s">
        <v>145</v>
      </c>
      <c r="AU13" s="4" t="s">
        <v>133</v>
      </c>
      <c r="AV13" s="5"/>
      <c r="AW13" s="4" t="s">
        <v>146</v>
      </c>
      <c r="AX13" s="4">
        <v>1.0</v>
      </c>
      <c r="AY13" s="4" t="s">
        <v>147</v>
      </c>
      <c r="AZ13" s="5"/>
      <c r="BA13" s="5"/>
      <c r="BB13" s="5"/>
      <c r="BC13" s="4">
        <v>0.0</v>
      </c>
      <c r="BD13" s="4" t="s">
        <v>148</v>
      </c>
      <c r="BE13" s="4" t="s">
        <v>149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4">
        <v>0.0</v>
      </c>
      <c r="BQ13" s="4" t="s">
        <v>147</v>
      </c>
      <c r="BR13" s="5"/>
      <c r="BS13" s="4" t="s">
        <v>147</v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7">
        <v>12.0</v>
      </c>
      <c r="CE13" s="4" t="s">
        <v>144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7">
        <v>1.2</v>
      </c>
      <c r="DH13" s="4" t="s">
        <v>144</v>
      </c>
      <c r="DI13" s="5"/>
      <c r="DJ13" s="5"/>
      <c r="DK13" s="7">
        <v>0.9</v>
      </c>
      <c r="DL13" s="4" t="s">
        <v>144</v>
      </c>
      <c r="DM13" s="5"/>
      <c r="DN13" s="5"/>
      <c r="DO13" s="5"/>
      <c r="DP13" s="5"/>
      <c r="DQ13" s="5"/>
      <c r="DR13" s="5"/>
      <c r="DS13" s="5"/>
      <c r="DT13" s="5"/>
      <c r="DU13" s="7">
        <v>1.0</v>
      </c>
      <c r="DV13" s="4" t="s">
        <v>144</v>
      </c>
      <c r="DW13" s="5"/>
      <c r="DX13" s="5"/>
      <c r="DY13" s="5"/>
      <c r="DZ13" s="5"/>
      <c r="EA13" s="5"/>
      <c r="EB13" s="5"/>
    </row>
    <row r="14" ht="14.25" customHeight="1">
      <c r="A14" s="4" t="s">
        <v>163</v>
      </c>
      <c r="B14" s="4" t="s">
        <v>161</v>
      </c>
      <c r="C14" s="4" t="s">
        <v>134</v>
      </c>
      <c r="D14" s="4" t="s">
        <v>135</v>
      </c>
      <c r="E14" s="5"/>
      <c r="F14" s="5"/>
      <c r="G14" s="4" t="s">
        <v>155</v>
      </c>
      <c r="H14" s="6" t="s">
        <v>137</v>
      </c>
      <c r="I14" s="5"/>
      <c r="J14" s="5"/>
      <c r="K14" s="5"/>
      <c r="L14" s="4" t="s">
        <v>138</v>
      </c>
      <c r="M14" s="5"/>
      <c r="N14" s="5"/>
      <c r="O14" s="4">
        <v>0.2</v>
      </c>
      <c r="P14" s="4">
        <v>0.2</v>
      </c>
      <c r="Q14" s="4" t="s">
        <v>139</v>
      </c>
      <c r="R14" s="4">
        <v>40.0</v>
      </c>
      <c r="S14" s="4">
        <v>28.0</v>
      </c>
      <c r="T14" s="4">
        <v>5.0</v>
      </c>
      <c r="U14" s="4" t="s">
        <v>140</v>
      </c>
      <c r="V14" s="5"/>
      <c r="W14" s="5"/>
      <c r="X14" s="5"/>
      <c r="Y14" s="5"/>
      <c r="Z14" s="5"/>
      <c r="AA14" s="5"/>
      <c r="AB14" s="5"/>
      <c r="AC14" s="5"/>
      <c r="AD14" s="5"/>
      <c r="AE14" s="4" t="s">
        <v>139</v>
      </c>
      <c r="AF14" s="5"/>
      <c r="AG14" s="5"/>
      <c r="AH14" s="5"/>
      <c r="AI14" s="4" t="s">
        <v>140</v>
      </c>
      <c r="AJ14" s="4" t="s">
        <v>141</v>
      </c>
      <c r="AK14" s="4" t="s">
        <v>142</v>
      </c>
      <c r="AL14" s="4" t="s">
        <v>143</v>
      </c>
      <c r="AM14" s="4">
        <v>15.0</v>
      </c>
      <c r="AN14" s="7">
        <v>12.0</v>
      </c>
      <c r="AO14" s="4" t="s">
        <v>144</v>
      </c>
      <c r="AP14" s="4">
        <v>1.0</v>
      </c>
      <c r="AQ14" s="4">
        <v>0.0</v>
      </c>
      <c r="AR14" s="4">
        <v>0.0</v>
      </c>
      <c r="AS14" s="5"/>
      <c r="AT14" s="4" t="s">
        <v>145</v>
      </c>
      <c r="AU14" s="4" t="s">
        <v>133</v>
      </c>
      <c r="AV14" s="5"/>
      <c r="AW14" s="4" t="s">
        <v>146</v>
      </c>
      <c r="AX14" s="4">
        <v>1.0</v>
      </c>
      <c r="AY14" s="4" t="s">
        <v>147</v>
      </c>
      <c r="AZ14" s="5"/>
      <c r="BA14" s="5"/>
      <c r="BB14" s="5"/>
      <c r="BC14" s="4">
        <v>0.0</v>
      </c>
      <c r="BD14" s="4" t="s">
        <v>148</v>
      </c>
      <c r="BE14" s="4" t="s">
        <v>149</v>
      </c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4">
        <v>0.0</v>
      </c>
      <c r="BQ14" s="4" t="s">
        <v>147</v>
      </c>
      <c r="BR14" s="5"/>
      <c r="BS14" s="4" t="s">
        <v>147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7">
        <v>12.0</v>
      </c>
      <c r="CE14" s="4" t="s">
        <v>144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7">
        <v>1.2</v>
      </c>
      <c r="DH14" s="4" t="s">
        <v>144</v>
      </c>
      <c r="DI14" s="5"/>
      <c r="DJ14" s="5"/>
      <c r="DK14" s="7">
        <v>0.9</v>
      </c>
      <c r="DL14" s="4" t="s">
        <v>144</v>
      </c>
      <c r="DM14" s="5"/>
      <c r="DN14" s="5"/>
      <c r="DO14" s="5"/>
      <c r="DP14" s="5"/>
      <c r="DQ14" s="5"/>
      <c r="DR14" s="5"/>
      <c r="DS14" s="5"/>
      <c r="DT14" s="5"/>
      <c r="DU14" s="7">
        <v>1.0</v>
      </c>
      <c r="DV14" s="4" t="s">
        <v>144</v>
      </c>
      <c r="DW14" s="5"/>
      <c r="DX14" s="5"/>
      <c r="DY14" s="5"/>
      <c r="DZ14" s="5"/>
      <c r="EA14" s="5"/>
      <c r="EB14" s="5"/>
    </row>
    <row r="15" ht="14.25" customHeight="1">
      <c r="A15" s="4" t="s">
        <v>164</v>
      </c>
      <c r="B15" s="4" t="s">
        <v>161</v>
      </c>
      <c r="C15" s="4" t="s">
        <v>134</v>
      </c>
      <c r="D15" s="4" t="s">
        <v>135</v>
      </c>
      <c r="E15" s="5"/>
      <c r="F15" s="5"/>
      <c r="G15" s="4" t="s">
        <v>155</v>
      </c>
      <c r="H15" s="6" t="s">
        <v>137</v>
      </c>
      <c r="I15" s="5"/>
      <c r="J15" s="5"/>
      <c r="K15" s="5"/>
      <c r="L15" s="4" t="s">
        <v>138</v>
      </c>
      <c r="M15" s="5"/>
      <c r="N15" s="5"/>
      <c r="O15" s="4">
        <v>0.2</v>
      </c>
      <c r="P15" s="4">
        <v>0.2</v>
      </c>
      <c r="Q15" s="4" t="s">
        <v>139</v>
      </c>
      <c r="R15" s="4">
        <v>40.0</v>
      </c>
      <c r="S15" s="4">
        <v>28.0</v>
      </c>
      <c r="T15" s="4">
        <v>5.0</v>
      </c>
      <c r="U15" s="4" t="s">
        <v>140</v>
      </c>
      <c r="V15" s="5"/>
      <c r="W15" s="5"/>
      <c r="X15" s="5"/>
      <c r="Y15" s="5"/>
      <c r="Z15" s="5"/>
      <c r="AA15" s="5"/>
      <c r="AB15" s="5"/>
      <c r="AC15" s="5"/>
      <c r="AD15" s="5"/>
      <c r="AE15" s="4" t="s">
        <v>139</v>
      </c>
      <c r="AF15" s="5"/>
      <c r="AG15" s="5"/>
      <c r="AH15" s="5"/>
      <c r="AI15" s="4" t="s">
        <v>140</v>
      </c>
      <c r="AJ15" s="4" t="s">
        <v>141</v>
      </c>
      <c r="AK15" s="4" t="s">
        <v>142</v>
      </c>
      <c r="AL15" s="4" t="s">
        <v>143</v>
      </c>
      <c r="AM15" s="4">
        <v>15.0</v>
      </c>
      <c r="AN15" s="7">
        <v>13.0</v>
      </c>
      <c r="AO15" s="4" t="s">
        <v>144</v>
      </c>
      <c r="AP15" s="4">
        <v>1.0</v>
      </c>
      <c r="AQ15" s="4">
        <v>0.0</v>
      </c>
      <c r="AR15" s="4">
        <v>0.0</v>
      </c>
      <c r="AS15" s="5"/>
      <c r="AT15" s="4" t="s">
        <v>145</v>
      </c>
      <c r="AU15" s="4" t="s">
        <v>133</v>
      </c>
      <c r="AV15" s="5"/>
      <c r="AW15" s="4" t="s">
        <v>146</v>
      </c>
      <c r="AX15" s="4">
        <v>1.0</v>
      </c>
      <c r="AY15" s="4" t="s">
        <v>147</v>
      </c>
      <c r="AZ15" s="5"/>
      <c r="BA15" s="5"/>
      <c r="BB15" s="5"/>
      <c r="BC15" s="4">
        <v>0.0</v>
      </c>
      <c r="BD15" s="4" t="s">
        <v>148</v>
      </c>
      <c r="BE15" s="4" t="s">
        <v>149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4">
        <v>0.0</v>
      </c>
      <c r="BQ15" s="4" t="s">
        <v>147</v>
      </c>
      <c r="BR15" s="5"/>
      <c r="BS15" s="4" t="s">
        <v>147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7">
        <v>12.0</v>
      </c>
      <c r="CE15" s="4" t="s">
        <v>144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7">
        <v>1.2</v>
      </c>
      <c r="DH15" s="4" t="s">
        <v>144</v>
      </c>
      <c r="DI15" s="5"/>
      <c r="DJ15" s="5"/>
      <c r="DK15" s="7">
        <v>0.9</v>
      </c>
      <c r="DL15" s="4" t="s">
        <v>144</v>
      </c>
      <c r="DM15" s="5"/>
      <c r="DN15" s="5"/>
      <c r="DO15" s="5"/>
      <c r="DP15" s="5"/>
      <c r="DQ15" s="5"/>
      <c r="DR15" s="5"/>
      <c r="DS15" s="5"/>
      <c r="DT15" s="5"/>
      <c r="DU15" s="7">
        <v>1.0</v>
      </c>
      <c r="DV15" s="4" t="s">
        <v>144</v>
      </c>
      <c r="DW15" s="5"/>
      <c r="DX15" s="5"/>
      <c r="DY15" s="5"/>
      <c r="DZ15" s="5"/>
      <c r="EA15" s="5"/>
      <c r="EB15" s="5"/>
    </row>
    <row r="16" ht="14.25" customHeight="1">
      <c r="A16" s="4" t="s">
        <v>165</v>
      </c>
      <c r="B16" s="4" t="s">
        <v>161</v>
      </c>
      <c r="C16" s="4" t="s">
        <v>134</v>
      </c>
      <c r="D16" s="4" t="s">
        <v>135</v>
      </c>
      <c r="E16" s="5"/>
      <c r="F16" s="5"/>
      <c r="G16" s="4" t="s">
        <v>155</v>
      </c>
      <c r="H16" s="6" t="s">
        <v>137</v>
      </c>
      <c r="I16" s="5"/>
      <c r="J16" s="5"/>
      <c r="K16" s="5"/>
      <c r="L16" s="4" t="s">
        <v>138</v>
      </c>
      <c r="M16" s="5"/>
      <c r="N16" s="5"/>
      <c r="O16" s="4">
        <v>0.2</v>
      </c>
      <c r="P16" s="4">
        <v>0.2</v>
      </c>
      <c r="Q16" s="4" t="s">
        <v>139</v>
      </c>
      <c r="R16" s="4">
        <v>40.0</v>
      </c>
      <c r="S16" s="4">
        <v>28.0</v>
      </c>
      <c r="T16" s="4">
        <v>5.0</v>
      </c>
      <c r="U16" s="4" t="s">
        <v>140</v>
      </c>
      <c r="V16" s="5"/>
      <c r="W16" s="5"/>
      <c r="X16" s="5"/>
      <c r="Y16" s="5"/>
      <c r="Z16" s="5"/>
      <c r="AA16" s="5"/>
      <c r="AB16" s="5"/>
      <c r="AC16" s="5"/>
      <c r="AD16" s="5"/>
      <c r="AE16" s="4" t="s">
        <v>139</v>
      </c>
      <c r="AF16" s="5"/>
      <c r="AG16" s="5"/>
      <c r="AH16" s="5"/>
      <c r="AI16" s="4" t="s">
        <v>140</v>
      </c>
      <c r="AJ16" s="4" t="s">
        <v>141</v>
      </c>
      <c r="AK16" s="4" t="s">
        <v>142</v>
      </c>
      <c r="AL16" s="4" t="s">
        <v>143</v>
      </c>
      <c r="AM16" s="4">
        <v>15.0</v>
      </c>
      <c r="AN16" s="7">
        <v>11.0</v>
      </c>
      <c r="AO16" s="4" t="s">
        <v>144</v>
      </c>
      <c r="AP16" s="4">
        <v>1.0</v>
      </c>
      <c r="AQ16" s="4">
        <v>0.0</v>
      </c>
      <c r="AR16" s="4">
        <v>0.0</v>
      </c>
      <c r="AS16" s="5"/>
      <c r="AT16" s="4" t="s">
        <v>145</v>
      </c>
      <c r="AU16" s="4" t="s">
        <v>133</v>
      </c>
      <c r="AV16" s="5"/>
      <c r="AW16" s="4" t="s">
        <v>146</v>
      </c>
      <c r="AX16" s="4">
        <v>1.0</v>
      </c>
      <c r="AY16" s="4" t="s">
        <v>147</v>
      </c>
      <c r="AZ16" s="5"/>
      <c r="BA16" s="5"/>
      <c r="BB16" s="5"/>
      <c r="BC16" s="4">
        <v>0.0</v>
      </c>
      <c r="BD16" s="4" t="s">
        <v>148</v>
      </c>
      <c r="BE16" s="4" t="s">
        <v>149</v>
      </c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4">
        <v>0.0</v>
      </c>
      <c r="BQ16" s="4" t="s">
        <v>147</v>
      </c>
      <c r="BR16" s="5"/>
      <c r="BS16" s="4" t="s">
        <v>147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7">
        <v>12.0</v>
      </c>
      <c r="CE16" s="4" t="s">
        <v>144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7">
        <v>1.2</v>
      </c>
      <c r="DH16" s="4" t="s">
        <v>144</v>
      </c>
      <c r="DI16" s="5"/>
      <c r="DJ16" s="5"/>
      <c r="DK16" s="7">
        <v>0.9</v>
      </c>
      <c r="DL16" s="4" t="s">
        <v>144</v>
      </c>
      <c r="DM16" s="5"/>
      <c r="DN16" s="5"/>
      <c r="DO16" s="5"/>
      <c r="DP16" s="5"/>
      <c r="DQ16" s="5"/>
      <c r="DR16" s="5"/>
      <c r="DS16" s="5"/>
      <c r="DT16" s="5"/>
      <c r="DU16" s="7">
        <v>1.0</v>
      </c>
      <c r="DV16" s="4" t="s">
        <v>144</v>
      </c>
      <c r="DW16" s="5"/>
      <c r="DX16" s="5"/>
      <c r="DY16" s="5"/>
      <c r="DZ16" s="5"/>
      <c r="EA16" s="5"/>
      <c r="EB16" s="5"/>
    </row>
    <row r="17" ht="14.25" customHeight="1">
      <c r="A17" s="4" t="s">
        <v>166</v>
      </c>
      <c r="B17" s="4" t="s">
        <v>167</v>
      </c>
      <c r="C17" s="4" t="s">
        <v>134</v>
      </c>
      <c r="D17" s="4" t="s">
        <v>135</v>
      </c>
      <c r="E17" s="5"/>
      <c r="F17" s="5"/>
      <c r="G17" s="4" t="s">
        <v>155</v>
      </c>
      <c r="H17" s="6" t="s">
        <v>137</v>
      </c>
      <c r="I17" s="5"/>
      <c r="J17" s="5"/>
      <c r="K17" s="5"/>
      <c r="L17" s="4" t="s">
        <v>138</v>
      </c>
      <c r="M17" s="5"/>
      <c r="N17" s="5"/>
      <c r="O17" s="4">
        <v>0.2</v>
      </c>
      <c r="P17" s="4">
        <v>0.2</v>
      </c>
      <c r="Q17" s="4" t="s">
        <v>139</v>
      </c>
      <c r="R17" s="4">
        <v>40.0</v>
      </c>
      <c r="S17" s="4">
        <v>28.0</v>
      </c>
      <c r="T17" s="4">
        <v>5.0</v>
      </c>
      <c r="U17" s="4" t="s">
        <v>140</v>
      </c>
      <c r="V17" s="5"/>
      <c r="W17" s="5"/>
      <c r="X17" s="5"/>
      <c r="Y17" s="5"/>
      <c r="Z17" s="5"/>
      <c r="AA17" s="5"/>
      <c r="AB17" s="5"/>
      <c r="AC17" s="5"/>
      <c r="AD17" s="5"/>
      <c r="AE17" s="4" t="s">
        <v>139</v>
      </c>
      <c r="AF17" s="5"/>
      <c r="AG17" s="5"/>
      <c r="AH17" s="5"/>
      <c r="AI17" s="4" t="s">
        <v>140</v>
      </c>
      <c r="AJ17" s="4" t="s">
        <v>141</v>
      </c>
      <c r="AK17" s="4" t="s">
        <v>142</v>
      </c>
      <c r="AL17" s="4" t="s">
        <v>143</v>
      </c>
      <c r="AM17" s="4">
        <v>15.0</v>
      </c>
      <c r="AN17" s="7">
        <v>18.0</v>
      </c>
      <c r="AO17" s="4" t="s">
        <v>144</v>
      </c>
      <c r="AP17" s="4">
        <v>1.0</v>
      </c>
      <c r="AQ17" s="4">
        <v>0.0</v>
      </c>
      <c r="AR17" s="4">
        <v>0.0</v>
      </c>
      <c r="AS17" s="5"/>
      <c r="AT17" s="4" t="s">
        <v>145</v>
      </c>
      <c r="AU17" s="4" t="s">
        <v>133</v>
      </c>
      <c r="AV17" s="5"/>
      <c r="AW17" s="4" t="s">
        <v>146</v>
      </c>
      <c r="AX17" s="4">
        <v>1.0</v>
      </c>
      <c r="AY17" s="4" t="s">
        <v>147</v>
      </c>
      <c r="AZ17" s="5"/>
      <c r="BA17" s="5"/>
      <c r="BB17" s="5"/>
      <c r="BC17" s="4">
        <v>0.0</v>
      </c>
      <c r="BD17" s="4" t="s">
        <v>148</v>
      </c>
      <c r="BE17" s="4" t="s">
        <v>149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4">
        <v>0.0</v>
      </c>
      <c r="BQ17" s="4" t="s">
        <v>147</v>
      </c>
      <c r="BR17" s="5"/>
      <c r="BS17" s="4" t="s">
        <v>147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7">
        <v>12.0</v>
      </c>
      <c r="CE17" s="4" t="s">
        <v>144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7">
        <v>1.2</v>
      </c>
      <c r="DH17" s="4" t="s">
        <v>144</v>
      </c>
      <c r="DI17" s="5"/>
      <c r="DJ17" s="5"/>
      <c r="DK17" s="7">
        <v>0.9</v>
      </c>
      <c r="DL17" s="4" t="s">
        <v>144</v>
      </c>
      <c r="DM17" s="5"/>
      <c r="DN17" s="5"/>
      <c r="DO17" s="5"/>
      <c r="DP17" s="5"/>
      <c r="DQ17" s="5"/>
      <c r="DR17" s="5"/>
      <c r="DS17" s="5"/>
      <c r="DT17" s="5"/>
      <c r="DU17" s="7">
        <v>1.0</v>
      </c>
      <c r="DV17" s="4" t="s">
        <v>144</v>
      </c>
      <c r="DW17" s="5"/>
      <c r="DX17" s="5"/>
      <c r="DY17" s="5"/>
      <c r="DZ17" s="5"/>
      <c r="EA17" s="5"/>
      <c r="EB17" s="5"/>
    </row>
    <row r="18" ht="14.25" customHeight="1">
      <c r="A18" s="4" t="s">
        <v>168</v>
      </c>
      <c r="B18" s="4" t="s">
        <v>161</v>
      </c>
      <c r="C18" s="4" t="s">
        <v>134</v>
      </c>
      <c r="D18" s="4" t="s">
        <v>135</v>
      </c>
      <c r="E18" s="5"/>
      <c r="F18" s="5"/>
      <c r="G18" s="4" t="s">
        <v>155</v>
      </c>
      <c r="H18" s="6" t="s">
        <v>137</v>
      </c>
      <c r="I18" s="5"/>
      <c r="J18" s="5"/>
      <c r="K18" s="5"/>
      <c r="L18" s="4" t="s">
        <v>138</v>
      </c>
      <c r="M18" s="5"/>
      <c r="N18" s="5"/>
      <c r="O18" s="4">
        <v>0.2</v>
      </c>
      <c r="P18" s="4">
        <v>0.2</v>
      </c>
      <c r="Q18" s="4" t="s">
        <v>139</v>
      </c>
      <c r="R18" s="4">
        <v>40.0</v>
      </c>
      <c r="S18" s="4">
        <v>28.0</v>
      </c>
      <c r="T18" s="4">
        <v>5.0</v>
      </c>
      <c r="U18" s="4" t="s">
        <v>140</v>
      </c>
      <c r="V18" s="5"/>
      <c r="W18" s="5"/>
      <c r="X18" s="5"/>
      <c r="Y18" s="5"/>
      <c r="Z18" s="5"/>
      <c r="AA18" s="5"/>
      <c r="AB18" s="5"/>
      <c r="AC18" s="5"/>
      <c r="AD18" s="5"/>
      <c r="AE18" s="4" t="s">
        <v>139</v>
      </c>
      <c r="AF18" s="5"/>
      <c r="AG18" s="5"/>
      <c r="AH18" s="5"/>
      <c r="AI18" s="4" t="s">
        <v>140</v>
      </c>
      <c r="AJ18" s="4" t="s">
        <v>141</v>
      </c>
      <c r="AK18" s="4" t="s">
        <v>142</v>
      </c>
      <c r="AL18" s="4" t="s">
        <v>143</v>
      </c>
      <c r="AM18" s="4">
        <v>15.0</v>
      </c>
      <c r="AN18" s="7">
        <v>22.0</v>
      </c>
      <c r="AO18" s="4" t="s">
        <v>144</v>
      </c>
      <c r="AP18" s="4">
        <v>1.0</v>
      </c>
      <c r="AQ18" s="4">
        <v>0.0</v>
      </c>
      <c r="AR18" s="4">
        <v>0.0</v>
      </c>
      <c r="AS18" s="5"/>
      <c r="AT18" s="4" t="s">
        <v>145</v>
      </c>
      <c r="AU18" s="4" t="s">
        <v>133</v>
      </c>
      <c r="AV18" s="5"/>
      <c r="AW18" s="4" t="s">
        <v>146</v>
      </c>
      <c r="AX18" s="4">
        <v>1.0</v>
      </c>
      <c r="AY18" s="4" t="s">
        <v>147</v>
      </c>
      <c r="AZ18" s="5"/>
      <c r="BA18" s="5"/>
      <c r="BB18" s="5"/>
      <c r="BC18" s="4">
        <v>0.0</v>
      </c>
      <c r="BD18" s="4" t="s">
        <v>148</v>
      </c>
      <c r="BE18" s="4" t="s">
        <v>149</v>
      </c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4">
        <v>0.0</v>
      </c>
      <c r="BQ18" s="4" t="s">
        <v>147</v>
      </c>
      <c r="BR18" s="5"/>
      <c r="BS18" s="4" t="s">
        <v>147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7">
        <v>12.0</v>
      </c>
      <c r="CE18" s="4" t="s">
        <v>144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7">
        <v>1.2</v>
      </c>
      <c r="DH18" s="4" t="s">
        <v>144</v>
      </c>
      <c r="DI18" s="5"/>
      <c r="DJ18" s="5"/>
      <c r="DK18" s="7">
        <v>0.9</v>
      </c>
      <c r="DL18" s="4" t="s">
        <v>144</v>
      </c>
      <c r="DM18" s="5"/>
      <c r="DN18" s="5"/>
      <c r="DO18" s="5"/>
      <c r="DP18" s="5"/>
      <c r="DQ18" s="5"/>
      <c r="DR18" s="5"/>
      <c r="DS18" s="5"/>
      <c r="DT18" s="5"/>
      <c r="DU18" s="7">
        <v>1.0</v>
      </c>
      <c r="DV18" s="4" t="s">
        <v>144</v>
      </c>
      <c r="DW18" s="5"/>
      <c r="DX18" s="5"/>
      <c r="DY18" s="5"/>
      <c r="DZ18" s="5"/>
      <c r="EA18" s="5"/>
      <c r="EB18" s="5"/>
    </row>
    <row r="19" ht="14.25" customHeight="1">
      <c r="A19" s="4" t="s">
        <v>169</v>
      </c>
      <c r="B19" s="4" t="s">
        <v>170</v>
      </c>
      <c r="C19" s="4" t="s">
        <v>134</v>
      </c>
      <c r="D19" s="4" t="s">
        <v>135</v>
      </c>
      <c r="E19" s="5"/>
      <c r="F19" s="5"/>
      <c r="G19" s="4" t="s">
        <v>155</v>
      </c>
      <c r="H19" s="6" t="s">
        <v>137</v>
      </c>
      <c r="I19" s="5"/>
      <c r="J19" s="5"/>
      <c r="K19" s="5"/>
      <c r="L19" s="4" t="s">
        <v>138</v>
      </c>
      <c r="M19" s="5"/>
      <c r="N19" s="5"/>
      <c r="O19" s="4">
        <v>0.2</v>
      </c>
      <c r="P19" s="4">
        <v>0.2</v>
      </c>
      <c r="Q19" s="4" t="s">
        <v>139</v>
      </c>
      <c r="R19" s="4">
        <v>40.0</v>
      </c>
      <c r="S19" s="4">
        <v>28.0</v>
      </c>
      <c r="T19" s="4">
        <v>5.0</v>
      </c>
      <c r="U19" s="4" t="s">
        <v>140</v>
      </c>
      <c r="V19" s="5"/>
      <c r="W19" s="5"/>
      <c r="X19" s="5"/>
      <c r="Y19" s="5"/>
      <c r="Z19" s="5"/>
      <c r="AA19" s="5"/>
      <c r="AB19" s="5"/>
      <c r="AC19" s="5"/>
      <c r="AD19" s="5"/>
      <c r="AE19" s="4" t="s">
        <v>139</v>
      </c>
      <c r="AF19" s="5"/>
      <c r="AG19" s="5"/>
      <c r="AH19" s="5"/>
      <c r="AI19" s="4" t="s">
        <v>140</v>
      </c>
      <c r="AJ19" s="4" t="s">
        <v>141</v>
      </c>
      <c r="AK19" s="4" t="s">
        <v>142</v>
      </c>
      <c r="AL19" s="4" t="s">
        <v>143</v>
      </c>
      <c r="AM19" s="4">
        <v>15.0</v>
      </c>
      <c r="AN19" s="7">
        <v>14.0</v>
      </c>
      <c r="AO19" s="4" t="s">
        <v>144</v>
      </c>
      <c r="AP19" s="4">
        <v>1.0</v>
      </c>
      <c r="AQ19" s="4">
        <v>0.0</v>
      </c>
      <c r="AR19" s="4">
        <v>0.0</v>
      </c>
      <c r="AS19" s="5"/>
      <c r="AT19" s="4" t="s">
        <v>145</v>
      </c>
      <c r="AU19" s="4" t="s">
        <v>133</v>
      </c>
      <c r="AV19" s="5"/>
      <c r="AW19" s="4" t="s">
        <v>146</v>
      </c>
      <c r="AX19" s="4">
        <v>1.0</v>
      </c>
      <c r="AY19" s="4" t="s">
        <v>147</v>
      </c>
      <c r="AZ19" s="5"/>
      <c r="BA19" s="5"/>
      <c r="BB19" s="5"/>
      <c r="BC19" s="4">
        <v>0.0</v>
      </c>
      <c r="BD19" s="4" t="s">
        <v>148</v>
      </c>
      <c r="BE19" s="4" t="s">
        <v>149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4">
        <v>0.0</v>
      </c>
      <c r="BQ19" s="4" t="s">
        <v>147</v>
      </c>
      <c r="BR19" s="5"/>
      <c r="BS19" s="4" t="s">
        <v>147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7">
        <v>12.0</v>
      </c>
      <c r="CE19" s="4" t="s">
        <v>144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7">
        <v>1.2</v>
      </c>
      <c r="DH19" s="4" t="s">
        <v>144</v>
      </c>
      <c r="DI19" s="5"/>
      <c r="DJ19" s="5"/>
      <c r="DK19" s="7">
        <v>0.9</v>
      </c>
      <c r="DL19" s="4" t="s">
        <v>144</v>
      </c>
      <c r="DM19" s="5"/>
      <c r="DN19" s="5"/>
      <c r="DO19" s="5"/>
      <c r="DP19" s="5"/>
      <c r="DQ19" s="5"/>
      <c r="DR19" s="5"/>
      <c r="DS19" s="5"/>
      <c r="DT19" s="5"/>
      <c r="DU19" s="7">
        <v>1.0</v>
      </c>
      <c r="DV19" s="4" t="s">
        <v>144</v>
      </c>
      <c r="DW19" s="5"/>
      <c r="DX19" s="5"/>
      <c r="DY19" s="5"/>
      <c r="DZ19" s="5"/>
      <c r="EA19" s="5"/>
      <c r="EB19" s="5"/>
    </row>
    <row r="20" ht="14.25" customHeight="1">
      <c r="A20" s="4" t="s">
        <v>171</v>
      </c>
      <c r="B20" s="4" t="s">
        <v>170</v>
      </c>
      <c r="C20" s="4" t="s">
        <v>134</v>
      </c>
      <c r="D20" s="4" t="s">
        <v>135</v>
      </c>
      <c r="E20" s="5"/>
      <c r="F20" s="5"/>
      <c r="G20" s="4" t="s">
        <v>155</v>
      </c>
      <c r="H20" s="6" t="s">
        <v>137</v>
      </c>
      <c r="I20" s="5"/>
      <c r="J20" s="5"/>
      <c r="K20" s="5"/>
      <c r="L20" s="4" t="s">
        <v>138</v>
      </c>
      <c r="M20" s="5"/>
      <c r="N20" s="5"/>
      <c r="O20" s="4">
        <v>0.2</v>
      </c>
      <c r="P20" s="4">
        <v>0.2</v>
      </c>
      <c r="Q20" s="4" t="s">
        <v>139</v>
      </c>
      <c r="R20" s="4">
        <v>40.0</v>
      </c>
      <c r="S20" s="4">
        <v>28.0</v>
      </c>
      <c r="T20" s="4">
        <v>5.0</v>
      </c>
      <c r="U20" s="4" t="s">
        <v>140</v>
      </c>
      <c r="V20" s="5"/>
      <c r="W20" s="5"/>
      <c r="X20" s="5"/>
      <c r="Y20" s="5"/>
      <c r="Z20" s="5"/>
      <c r="AA20" s="5"/>
      <c r="AB20" s="5"/>
      <c r="AC20" s="5"/>
      <c r="AD20" s="5"/>
      <c r="AE20" s="4" t="s">
        <v>139</v>
      </c>
      <c r="AF20" s="5"/>
      <c r="AG20" s="5"/>
      <c r="AH20" s="5"/>
      <c r="AI20" s="4" t="s">
        <v>140</v>
      </c>
      <c r="AJ20" s="4" t="s">
        <v>141</v>
      </c>
      <c r="AK20" s="4" t="s">
        <v>142</v>
      </c>
      <c r="AL20" s="4" t="s">
        <v>143</v>
      </c>
      <c r="AM20" s="4">
        <v>15.0</v>
      </c>
      <c r="AN20" s="7">
        <v>18.0</v>
      </c>
      <c r="AO20" s="4" t="s">
        <v>144</v>
      </c>
      <c r="AP20" s="4">
        <v>1.0</v>
      </c>
      <c r="AQ20" s="4">
        <v>0.0</v>
      </c>
      <c r="AR20" s="4">
        <v>0.0</v>
      </c>
      <c r="AS20" s="5"/>
      <c r="AT20" s="4" t="s">
        <v>145</v>
      </c>
      <c r="AU20" s="4" t="s">
        <v>133</v>
      </c>
      <c r="AV20" s="5"/>
      <c r="AW20" s="4" t="s">
        <v>146</v>
      </c>
      <c r="AX20" s="4">
        <v>1.0</v>
      </c>
      <c r="AY20" s="4" t="s">
        <v>147</v>
      </c>
      <c r="AZ20" s="5"/>
      <c r="BA20" s="5"/>
      <c r="BB20" s="5"/>
      <c r="BC20" s="4">
        <v>0.0</v>
      </c>
      <c r="BD20" s="4" t="s">
        <v>148</v>
      </c>
      <c r="BE20" s="4" t="s">
        <v>149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4">
        <v>0.0</v>
      </c>
      <c r="BQ20" s="4" t="s">
        <v>147</v>
      </c>
      <c r="BR20" s="5"/>
      <c r="BS20" s="4" t="s">
        <v>147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7">
        <v>12.0</v>
      </c>
      <c r="CE20" s="4" t="s">
        <v>144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7">
        <v>1.2</v>
      </c>
      <c r="DH20" s="4" t="s">
        <v>144</v>
      </c>
      <c r="DI20" s="5"/>
      <c r="DJ20" s="5"/>
      <c r="DK20" s="7">
        <v>0.9</v>
      </c>
      <c r="DL20" s="4" t="s">
        <v>144</v>
      </c>
      <c r="DM20" s="5"/>
      <c r="DN20" s="5"/>
      <c r="DO20" s="5"/>
      <c r="DP20" s="5"/>
      <c r="DQ20" s="5"/>
      <c r="DR20" s="5"/>
      <c r="DS20" s="5"/>
      <c r="DT20" s="5"/>
      <c r="DU20" s="7">
        <v>1.0</v>
      </c>
      <c r="DV20" s="4" t="s">
        <v>144</v>
      </c>
      <c r="DW20" s="5"/>
      <c r="DX20" s="5"/>
      <c r="DY20" s="5"/>
      <c r="DZ20" s="5"/>
      <c r="EA20" s="5"/>
      <c r="EB20" s="5"/>
    </row>
    <row r="21" ht="14.25" customHeight="1">
      <c r="A21" s="4" t="s">
        <v>172</v>
      </c>
      <c r="B21" s="4" t="s">
        <v>170</v>
      </c>
      <c r="C21" s="4" t="s">
        <v>134</v>
      </c>
      <c r="D21" s="4" t="s">
        <v>135</v>
      </c>
      <c r="E21" s="5"/>
      <c r="F21" s="5"/>
      <c r="G21" s="4" t="s">
        <v>155</v>
      </c>
      <c r="H21" s="6" t="s">
        <v>137</v>
      </c>
      <c r="I21" s="5"/>
      <c r="J21" s="5"/>
      <c r="K21" s="5"/>
      <c r="L21" s="4" t="s">
        <v>138</v>
      </c>
      <c r="M21" s="5"/>
      <c r="N21" s="5"/>
      <c r="O21" s="4">
        <v>0.2</v>
      </c>
      <c r="P21" s="4">
        <v>0.2</v>
      </c>
      <c r="Q21" s="4" t="s">
        <v>139</v>
      </c>
      <c r="R21" s="4">
        <v>40.0</v>
      </c>
      <c r="S21" s="4">
        <v>28.0</v>
      </c>
      <c r="T21" s="4">
        <v>5.0</v>
      </c>
      <c r="U21" s="4" t="s">
        <v>140</v>
      </c>
      <c r="V21" s="5"/>
      <c r="W21" s="5"/>
      <c r="X21" s="5"/>
      <c r="Y21" s="5"/>
      <c r="Z21" s="5"/>
      <c r="AA21" s="5"/>
      <c r="AB21" s="5"/>
      <c r="AC21" s="5"/>
      <c r="AD21" s="5"/>
      <c r="AE21" s="4" t="s">
        <v>139</v>
      </c>
      <c r="AF21" s="5"/>
      <c r="AG21" s="5"/>
      <c r="AH21" s="5"/>
      <c r="AI21" s="4" t="s">
        <v>140</v>
      </c>
      <c r="AJ21" s="4" t="s">
        <v>141</v>
      </c>
      <c r="AK21" s="4" t="s">
        <v>142</v>
      </c>
      <c r="AL21" s="4" t="s">
        <v>143</v>
      </c>
      <c r="AM21" s="4">
        <v>15.0</v>
      </c>
      <c r="AN21" s="7">
        <v>13.0</v>
      </c>
      <c r="AO21" s="4" t="s">
        <v>144</v>
      </c>
      <c r="AP21" s="4">
        <v>1.0</v>
      </c>
      <c r="AQ21" s="4">
        <v>0.0</v>
      </c>
      <c r="AR21" s="4">
        <v>0.0</v>
      </c>
      <c r="AS21" s="5"/>
      <c r="AT21" s="4" t="s">
        <v>145</v>
      </c>
      <c r="AU21" s="4" t="s">
        <v>133</v>
      </c>
      <c r="AV21" s="5"/>
      <c r="AW21" s="4" t="s">
        <v>146</v>
      </c>
      <c r="AX21" s="4">
        <v>1.0</v>
      </c>
      <c r="AY21" s="4" t="s">
        <v>147</v>
      </c>
      <c r="AZ21" s="5"/>
      <c r="BA21" s="5"/>
      <c r="BB21" s="5"/>
      <c r="BC21" s="4">
        <v>0.0</v>
      </c>
      <c r="BD21" s="4" t="s">
        <v>148</v>
      </c>
      <c r="BE21" s="4" t="s">
        <v>149</v>
      </c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4">
        <v>0.0</v>
      </c>
      <c r="BQ21" s="4" t="s">
        <v>147</v>
      </c>
      <c r="BR21" s="5"/>
      <c r="BS21" s="4" t="s">
        <v>147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7">
        <v>12.0</v>
      </c>
      <c r="CE21" s="4" t="s">
        <v>144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7">
        <v>1.2</v>
      </c>
      <c r="DH21" s="4" t="s">
        <v>144</v>
      </c>
      <c r="DI21" s="5"/>
      <c r="DJ21" s="5"/>
      <c r="DK21" s="7">
        <v>0.9</v>
      </c>
      <c r="DL21" s="4" t="s">
        <v>144</v>
      </c>
      <c r="DM21" s="5"/>
      <c r="DN21" s="5"/>
      <c r="DO21" s="5"/>
      <c r="DP21" s="5"/>
      <c r="DQ21" s="5"/>
      <c r="DR21" s="5"/>
      <c r="DS21" s="5"/>
      <c r="DT21" s="5"/>
      <c r="DU21" s="7">
        <v>1.0</v>
      </c>
      <c r="DV21" s="4" t="s">
        <v>144</v>
      </c>
      <c r="DW21" s="5"/>
      <c r="DX21" s="5"/>
      <c r="DY21" s="5"/>
      <c r="DZ21" s="5"/>
      <c r="EA21" s="5"/>
      <c r="EB21" s="5"/>
    </row>
    <row r="22" ht="14.25" customHeight="1">
      <c r="A22" s="4" t="s">
        <v>173</v>
      </c>
      <c r="B22" s="4" t="s">
        <v>174</v>
      </c>
      <c r="C22" s="4" t="s">
        <v>134</v>
      </c>
      <c r="D22" s="4" t="s">
        <v>135</v>
      </c>
      <c r="E22" s="5"/>
      <c r="F22" s="5"/>
      <c r="G22" s="4" t="s">
        <v>155</v>
      </c>
      <c r="H22" s="6" t="s">
        <v>137</v>
      </c>
      <c r="I22" s="5"/>
      <c r="J22" s="5"/>
      <c r="K22" s="5"/>
      <c r="L22" s="4" t="s">
        <v>138</v>
      </c>
      <c r="M22" s="5"/>
      <c r="N22" s="5"/>
      <c r="O22" s="4">
        <v>0.2</v>
      </c>
      <c r="P22" s="4">
        <v>0.2</v>
      </c>
      <c r="Q22" s="4" t="s">
        <v>139</v>
      </c>
      <c r="R22" s="4">
        <v>40.0</v>
      </c>
      <c r="S22" s="4">
        <v>28.0</v>
      </c>
      <c r="T22" s="4">
        <v>5.0</v>
      </c>
      <c r="U22" s="4" t="s">
        <v>140</v>
      </c>
      <c r="V22" s="5"/>
      <c r="W22" s="5"/>
      <c r="X22" s="5"/>
      <c r="Y22" s="5"/>
      <c r="Z22" s="5"/>
      <c r="AA22" s="5"/>
      <c r="AB22" s="5"/>
      <c r="AC22" s="5"/>
      <c r="AD22" s="5"/>
      <c r="AE22" s="4" t="s">
        <v>139</v>
      </c>
      <c r="AF22" s="5"/>
      <c r="AG22" s="5"/>
      <c r="AH22" s="5"/>
      <c r="AI22" s="4" t="s">
        <v>140</v>
      </c>
      <c r="AJ22" s="4" t="s">
        <v>141</v>
      </c>
      <c r="AK22" s="4" t="s">
        <v>142</v>
      </c>
      <c r="AL22" s="4" t="s">
        <v>143</v>
      </c>
      <c r="AM22" s="4">
        <v>15.0</v>
      </c>
      <c r="AN22" s="7">
        <v>9.0</v>
      </c>
      <c r="AO22" s="4" t="s">
        <v>144</v>
      </c>
      <c r="AP22" s="4">
        <v>1.0</v>
      </c>
      <c r="AQ22" s="4">
        <v>0.0</v>
      </c>
      <c r="AR22" s="4">
        <v>0.0</v>
      </c>
      <c r="AS22" s="5"/>
      <c r="AT22" s="4" t="s">
        <v>145</v>
      </c>
      <c r="AU22" s="4" t="s">
        <v>133</v>
      </c>
      <c r="AV22" s="5"/>
      <c r="AW22" s="4" t="s">
        <v>146</v>
      </c>
      <c r="AX22" s="4">
        <v>1.0</v>
      </c>
      <c r="AY22" s="4" t="s">
        <v>147</v>
      </c>
      <c r="AZ22" s="5"/>
      <c r="BA22" s="5"/>
      <c r="BB22" s="5"/>
      <c r="BC22" s="4">
        <v>0.0</v>
      </c>
      <c r="BD22" s="4" t="s">
        <v>148</v>
      </c>
      <c r="BE22" s="4" t="s">
        <v>149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4">
        <v>0.0</v>
      </c>
      <c r="BQ22" s="4" t="s">
        <v>147</v>
      </c>
      <c r="BR22" s="5"/>
      <c r="BS22" s="4" t="s">
        <v>147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7">
        <v>12.0</v>
      </c>
      <c r="CE22" s="4" t="s">
        <v>144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7">
        <v>1.2</v>
      </c>
      <c r="DH22" s="4" t="s">
        <v>144</v>
      </c>
      <c r="DI22" s="5"/>
      <c r="DJ22" s="5"/>
      <c r="DK22" s="7">
        <v>0.9</v>
      </c>
      <c r="DL22" s="4" t="s">
        <v>144</v>
      </c>
      <c r="DM22" s="5"/>
      <c r="DN22" s="5"/>
      <c r="DO22" s="5"/>
      <c r="DP22" s="5"/>
      <c r="DQ22" s="5"/>
      <c r="DR22" s="5"/>
      <c r="DS22" s="5"/>
      <c r="DT22" s="5"/>
      <c r="DU22" s="7">
        <v>1.0</v>
      </c>
      <c r="DV22" s="4" t="s">
        <v>144</v>
      </c>
      <c r="DW22" s="5"/>
      <c r="DX22" s="5"/>
      <c r="DY22" s="5"/>
      <c r="DZ22" s="5"/>
      <c r="EA22" s="5"/>
      <c r="EB22" s="5"/>
    </row>
    <row r="23" ht="14.25" customHeight="1">
      <c r="A23" s="4" t="s">
        <v>175</v>
      </c>
      <c r="B23" s="4" t="s">
        <v>174</v>
      </c>
      <c r="C23" s="4" t="s">
        <v>134</v>
      </c>
      <c r="D23" s="4" t="s">
        <v>135</v>
      </c>
      <c r="E23" s="5"/>
      <c r="F23" s="5"/>
      <c r="G23" s="4" t="s">
        <v>155</v>
      </c>
      <c r="H23" s="6" t="s">
        <v>137</v>
      </c>
      <c r="I23" s="5"/>
      <c r="J23" s="5"/>
      <c r="K23" s="5"/>
      <c r="L23" s="4" t="s">
        <v>138</v>
      </c>
      <c r="M23" s="5"/>
      <c r="N23" s="5"/>
      <c r="O23" s="4">
        <v>0.2</v>
      </c>
      <c r="P23" s="4">
        <v>0.2</v>
      </c>
      <c r="Q23" s="4" t="s">
        <v>139</v>
      </c>
      <c r="R23" s="4">
        <v>40.0</v>
      </c>
      <c r="S23" s="4">
        <v>28.0</v>
      </c>
      <c r="T23" s="4">
        <v>5.0</v>
      </c>
      <c r="U23" s="4" t="s">
        <v>140</v>
      </c>
      <c r="V23" s="5"/>
      <c r="W23" s="5"/>
      <c r="X23" s="5"/>
      <c r="Y23" s="5"/>
      <c r="Z23" s="5"/>
      <c r="AA23" s="5"/>
      <c r="AB23" s="5"/>
      <c r="AC23" s="5"/>
      <c r="AD23" s="5"/>
      <c r="AE23" s="4" t="s">
        <v>139</v>
      </c>
      <c r="AF23" s="5"/>
      <c r="AG23" s="5"/>
      <c r="AH23" s="5"/>
      <c r="AI23" s="4" t="s">
        <v>140</v>
      </c>
      <c r="AJ23" s="4" t="s">
        <v>141</v>
      </c>
      <c r="AK23" s="4" t="s">
        <v>142</v>
      </c>
      <c r="AL23" s="4" t="s">
        <v>143</v>
      </c>
      <c r="AM23" s="4">
        <v>15.0</v>
      </c>
      <c r="AN23" s="7">
        <v>6.0</v>
      </c>
      <c r="AO23" s="4" t="s">
        <v>144</v>
      </c>
      <c r="AP23" s="4">
        <v>1.0</v>
      </c>
      <c r="AQ23" s="4">
        <v>0.0</v>
      </c>
      <c r="AR23" s="4">
        <v>0.0</v>
      </c>
      <c r="AS23" s="5"/>
      <c r="AT23" s="4" t="s">
        <v>145</v>
      </c>
      <c r="AU23" s="4" t="s">
        <v>133</v>
      </c>
      <c r="AV23" s="5"/>
      <c r="AW23" s="4" t="s">
        <v>146</v>
      </c>
      <c r="AX23" s="4">
        <v>1.0</v>
      </c>
      <c r="AY23" s="4" t="s">
        <v>147</v>
      </c>
      <c r="AZ23" s="5"/>
      <c r="BA23" s="5"/>
      <c r="BB23" s="5"/>
      <c r="BC23" s="4">
        <v>0.0</v>
      </c>
      <c r="BD23" s="4" t="s">
        <v>148</v>
      </c>
      <c r="BE23" s="4" t="s">
        <v>149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4">
        <v>0.0</v>
      </c>
      <c r="BQ23" s="4" t="s">
        <v>147</v>
      </c>
      <c r="BR23" s="5"/>
      <c r="BS23" s="4" t="s">
        <v>147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7">
        <v>12.0</v>
      </c>
      <c r="CE23" s="4" t="s">
        <v>144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7">
        <v>1.2</v>
      </c>
      <c r="DH23" s="4" t="s">
        <v>144</v>
      </c>
      <c r="DI23" s="5"/>
      <c r="DJ23" s="5"/>
      <c r="DK23" s="7">
        <v>0.9</v>
      </c>
      <c r="DL23" s="4" t="s">
        <v>144</v>
      </c>
      <c r="DM23" s="5"/>
      <c r="DN23" s="5"/>
      <c r="DO23" s="5"/>
      <c r="DP23" s="5"/>
      <c r="DQ23" s="5"/>
      <c r="DR23" s="5"/>
      <c r="DS23" s="5"/>
      <c r="DT23" s="5"/>
      <c r="DU23" s="7">
        <v>1.0</v>
      </c>
      <c r="DV23" s="4" t="s">
        <v>144</v>
      </c>
      <c r="DW23" s="5"/>
      <c r="DX23" s="5"/>
      <c r="DY23" s="5"/>
      <c r="DZ23" s="5"/>
      <c r="EA23" s="5"/>
      <c r="EB23" s="5"/>
    </row>
    <row r="24" ht="14.25" customHeight="1">
      <c r="A24" s="4" t="s">
        <v>176</v>
      </c>
      <c r="B24" s="4" t="s">
        <v>174</v>
      </c>
      <c r="C24" s="4" t="s">
        <v>134</v>
      </c>
      <c r="D24" s="4" t="s">
        <v>135</v>
      </c>
      <c r="E24" s="5"/>
      <c r="F24" s="5"/>
      <c r="G24" s="4" t="s">
        <v>155</v>
      </c>
      <c r="H24" s="6" t="s">
        <v>137</v>
      </c>
      <c r="I24" s="5"/>
      <c r="J24" s="5"/>
      <c r="K24" s="5"/>
      <c r="L24" s="4" t="s">
        <v>138</v>
      </c>
      <c r="M24" s="5"/>
      <c r="N24" s="5"/>
      <c r="O24" s="4">
        <v>0.2</v>
      </c>
      <c r="P24" s="4">
        <v>0.2</v>
      </c>
      <c r="Q24" s="4" t="s">
        <v>139</v>
      </c>
      <c r="R24" s="4">
        <v>40.0</v>
      </c>
      <c r="S24" s="4">
        <v>28.0</v>
      </c>
      <c r="T24" s="4">
        <v>5.0</v>
      </c>
      <c r="U24" s="4" t="s">
        <v>140</v>
      </c>
      <c r="V24" s="5"/>
      <c r="W24" s="5"/>
      <c r="X24" s="5"/>
      <c r="Y24" s="5"/>
      <c r="Z24" s="5"/>
      <c r="AA24" s="5"/>
      <c r="AB24" s="5"/>
      <c r="AC24" s="5"/>
      <c r="AD24" s="5"/>
      <c r="AE24" s="4" t="s">
        <v>139</v>
      </c>
      <c r="AF24" s="5"/>
      <c r="AG24" s="5"/>
      <c r="AH24" s="5"/>
      <c r="AI24" s="4" t="s">
        <v>140</v>
      </c>
      <c r="AJ24" s="4" t="s">
        <v>141</v>
      </c>
      <c r="AK24" s="4" t="s">
        <v>142</v>
      </c>
      <c r="AL24" s="4" t="s">
        <v>143</v>
      </c>
      <c r="AM24" s="4">
        <v>15.0</v>
      </c>
      <c r="AN24" s="7">
        <v>18.0</v>
      </c>
      <c r="AO24" s="4" t="s">
        <v>144</v>
      </c>
      <c r="AP24" s="4">
        <v>1.0</v>
      </c>
      <c r="AQ24" s="4">
        <v>0.0</v>
      </c>
      <c r="AR24" s="4">
        <v>0.0</v>
      </c>
      <c r="AS24" s="5"/>
      <c r="AT24" s="4" t="s">
        <v>145</v>
      </c>
      <c r="AU24" s="4" t="s">
        <v>133</v>
      </c>
      <c r="AV24" s="5"/>
      <c r="AW24" s="4" t="s">
        <v>146</v>
      </c>
      <c r="AX24" s="4">
        <v>1.0</v>
      </c>
      <c r="AY24" s="4" t="s">
        <v>147</v>
      </c>
      <c r="AZ24" s="5"/>
      <c r="BA24" s="5"/>
      <c r="BB24" s="5"/>
      <c r="BC24" s="4">
        <v>0.0</v>
      </c>
      <c r="BD24" s="4" t="s">
        <v>148</v>
      </c>
      <c r="BE24" s="4" t="s">
        <v>149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4">
        <v>0.0</v>
      </c>
      <c r="BQ24" s="4" t="s">
        <v>147</v>
      </c>
      <c r="BR24" s="5"/>
      <c r="BS24" s="4" t="s">
        <v>147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7">
        <v>12.0</v>
      </c>
      <c r="CE24" s="4" t="s">
        <v>144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7">
        <v>1.2</v>
      </c>
      <c r="DH24" s="4" t="s">
        <v>144</v>
      </c>
      <c r="DI24" s="5"/>
      <c r="DJ24" s="5"/>
      <c r="DK24" s="7">
        <v>0.9</v>
      </c>
      <c r="DL24" s="4" t="s">
        <v>144</v>
      </c>
      <c r="DM24" s="5"/>
      <c r="DN24" s="5"/>
      <c r="DO24" s="5"/>
      <c r="DP24" s="5"/>
      <c r="DQ24" s="5"/>
      <c r="DR24" s="5"/>
      <c r="DS24" s="5"/>
      <c r="DT24" s="5"/>
      <c r="DU24" s="7">
        <v>1.0</v>
      </c>
      <c r="DV24" s="4" t="s">
        <v>144</v>
      </c>
      <c r="DW24" s="5"/>
      <c r="DX24" s="5"/>
      <c r="DY24" s="5"/>
      <c r="DZ24" s="5"/>
      <c r="EA24" s="5"/>
      <c r="EB24" s="5"/>
    </row>
    <row r="25" ht="14.25" customHeight="1">
      <c r="A25" s="4" t="s">
        <v>177</v>
      </c>
      <c r="B25" s="4" t="s">
        <v>178</v>
      </c>
      <c r="C25" s="4" t="s">
        <v>134</v>
      </c>
      <c r="D25" s="4" t="s">
        <v>135</v>
      </c>
      <c r="E25" s="5"/>
      <c r="F25" s="5"/>
      <c r="G25" s="4" t="s">
        <v>155</v>
      </c>
      <c r="H25" s="6" t="s">
        <v>137</v>
      </c>
      <c r="I25" s="5"/>
      <c r="J25" s="5"/>
      <c r="K25" s="5"/>
      <c r="L25" s="4" t="s">
        <v>138</v>
      </c>
      <c r="M25" s="5"/>
      <c r="N25" s="5"/>
      <c r="O25" s="4">
        <v>0.2</v>
      </c>
      <c r="P25" s="4">
        <v>0.2</v>
      </c>
      <c r="Q25" s="4" t="s">
        <v>139</v>
      </c>
      <c r="R25" s="4">
        <v>40.0</v>
      </c>
      <c r="S25" s="4">
        <v>28.0</v>
      </c>
      <c r="T25" s="4">
        <v>5.0</v>
      </c>
      <c r="U25" s="4" t="s">
        <v>140</v>
      </c>
      <c r="V25" s="5"/>
      <c r="W25" s="5"/>
      <c r="X25" s="5"/>
      <c r="Y25" s="5"/>
      <c r="Z25" s="5"/>
      <c r="AA25" s="5"/>
      <c r="AB25" s="5"/>
      <c r="AC25" s="5"/>
      <c r="AD25" s="5"/>
      <c r="AE25" s="4" t="s">
        <v>139</v>
      </c>
      <c r="AF25" s="5"/>
      <c r="AG25" s="5"/>
      <c r="AH25" s="5"/>
      <c r="AI25" s="4" t="s">
        <v>140</v>
      </c>
      <c r="AJ25" s="4" t="s">
        <v>141</v>
      </c>
      <c r="AK25" s="4" t="s">
        <v>142</v>
      </c>
      <c r="AL25" s="4" t="s">
        <v>143</v>
      </c>
      <c r="AM25" s="4">
        <v>15.0</v>
      </c>
      <c r="AN25" s="7">
        <v>6.0</v>
      </c>
      <c r="AO25" s="4" t="s">
        <v>144</v>
      </c>
      <c r="AP25" s="4">
        <v>1.0</v>
      </c>
      <c r="AQ25" s="4">
        <v>0.0</v>
      </c>
      <c r="AR25" s="4">
        <v>0.0</v>
      </c>
      <c r="AS25" s="5"/>
      <c r="AT25" s="4" t="s">
        <v>145</v>
      </c>
      <c r="AU25" s="4" t="s">
        <v>133</v>
      </c>
      <c r="AV25" s="5"/>
      <c r="AW25" s="4" t="s">
        <v>146</v>
      </c>
      <c r="AX25" s="4">
        <v>1.0</v>
      </c>
      <c r="AY25" s="4" t="s">
        <v>147</v>
      </c>
      <c r="AZ25" s="5"/>
      <c r="BA25" s="5"/>
      <c r="BB25" s="5"/>
      <c r="BC25" s="4">
        <v>0.0</v>
      </c>
      <c r="BD25" s="4" t="s">
        <v>148</v>
      </c>
      <c r="BE25" s="4" t="s">
        <v>149</v>
      </c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4">
        <v>0.0</v>
      </c>
      <c r="BQ25" s="4" t="s">
        <v>147</v>
      </c>
      <c r="BR25" s="5"/>
      <c r="BS25" s="4" t="s">
        <v>147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7">
        <v>12.0</v>
      </c>
      <c r="CE25" s="4" t="s">
        <v>144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7">
        <v>1.2</v>
      </c>
      <c r="DH25" s="4" t="s">
        <v>144</v>
      </c>
      <c r="DI25" s="5"/>
      <c r="DJ25" s="5"/>
      <c r="DK25" s="7">
        <v>0.9</v>
      </c>
      <c r="DL25" s="4" t="s">
        <v>144</v>
      </c>
      <c r="DM25" s="5"/>
      <c r="DN25" s="5"/>
      <c r="DO25" s="5"/>
      <c r="DP25" s="5"/>
      <c r="DQ25" s="5"/>
      <c r="DR25" s="5"/>
      <c r="DS25" s="5"/>
      <c r="DT25" s="5"/>
      <c r="DU25" s="7">
        <v>1.0</v>
      </c>
      <c r="DV25" s="4" t="s">
        <v>144</v>
      </c>
      <c r="DW25" s="5"/>
      <c r="DX25" s="5"/>
      <c r="DY25" s="5"/>
      <c r="DZ25" s="5"/>
      <c r="EA25" s="5"/>
      <c r="EB25" s="5"/>
    </row>
    <row r="26" ht="14.25" customHeight="1">
      <c r="A26" s="4" t="s">
        <v>179</v>
      </c>
      <c r="B26" s="4" t="s">
        <v>180</v>
      </c>
      <c r="C26" s="4" t="s">
        <v>134</v>
      </c>
      <c r="D26" s="4" t="s">
        <v>135</v>
      </c>
      <c r="E26" s="5"/>
      <c r="F26" s="5"/>
      <c r="G26" s="4" t="s">
        <v>155</v>
      </c>
      <c r="H26" s="6" t="s">
        <v>137</v>
      </c>
      <c r="I26" s="5"/>
      <c r="J26" s="5"/>
      <c r="K26" s="5"/>
      <c r="L26" s="4" t="s">
        <v>138</v>
      </c>
      <c r="M26" s="5"/>
      <c r="N26" s="5"/>
      <c r="O26" s="4">
        <v>0.2</v>
      </c>
      <c r="P26" s="4">
        <v>0.2</v>
      </c>
      <c r="Q26" s="4" t="s">
        <v>139</v>
      </c>
      <c r="R26" s="4">
        <v>40.0</v>
      </c>
      <c r="S26" s="4">
        <v>28.0</v>
      </c>
      <c r="T26" s="4">
        <v>5.0</v>
      </c>
      <c r="U26" s="4" t="s">
        <v>140</v>
      </c>
      <c r="V26" s="5"/>
      <c r="W26" s="5"/>
      <c r="X26" s="5"/>
      <c r="Y26" s="5"/>
      <c r="Z26" s="5"/>
      <c r="AA26" s="5"/>
      <c r="AB26" s="5"/>
      <c r="AC26" s="5"/>
      <c r="AD26" s="5"/>
      <c r="AE26" s="4" t="s">
        <v>139</v>
      </c>
      <c r="AF26" s="5"/>
      <c r="AG26" s="5"/>
      <c r="AH26" s="5"/>
      <c r="AI26" s="4" t="s">
        <v>140</v>
      </c>
      <c r="AJ26" s="4" t="s">
        <v>141</v>
      </c>
      <c r="AK26" s="4" t="s">
        <v>142</v>
      </c>
      <c r="AL26" s="4" t="s">
        <v>143</v>
      </c>
      <c r="AM26" s="4">
        <v>15.0</v>
      </c>
      <c r="AN26" s="7">
        <v>11.0</v>
      </c>
      <c r="AO26" s="4" t="s">
        <v>144</v>
      </c>
      <c r="AP26" s="4">
        <v>1.0</v>
      </c>
      <c r="AQ26" s="4">
        <v>0.0</v>
      </c>
      <c r="AR26" s="4">
        <v>0.0</v>
      </c>
      <c r="AS26" s="5"/>
      <c r="AT26" s="4" t="s">
        <v>145</v>
      </c>
      <c r="AU26" s="4" t="s">
        <v>133</v>
      </c>
      <c r="AV26" s="5"/>
      <c r="AW26" s="4" t="s">
        <v>146</v>
      </c>
      <c r="AX26" s="4">
        <v>1.0</v>
      </c>
      <c r="AY26" s="4" t="s">
        <v>147</v>
      </c>
      <c r="AZ26" s="5"/>
      <c r="BA26" s="5"/>
      <c r="BB26" s="5"/>
      <c r="BC26" s="4">
        <v>0.0</v>
      </c>
      <c r="BD26" s="4" t="s">
        <v>148</v>
      </c>
      <c r="BE26" s="4" t="s">
        <v>149</v>
      </c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4">
        <v>0.0</v>
      </c>
      <c r="BQ26" s="4" t="s">
        <v>147</v>
      </c>
      <c r="BR26" s="5"/>
      <c r="BS26" s="4" t="s">
        <v>147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7">
        <v>12.0</v>
      </c>
      <c r="CE26" s="4" t="s">
        <v>144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7">
        <v>1.2</v>
      </c>
      <c r="DH26" s="4" t="s">
        <v>144</v>
      </c>
      <c r="DI26" s="5"/>
      <c r="DJ26" s="5"/>
      <c r="DK26" s="7">
        <v>0.9</v>
      </c>
      <c r="DL26" s="4" t="s">
        <v>144</v>
      </c>
      <c r="DM26" s="5"/>
      <c r="DN26" s="5"/>
      <c r="DO26" s="5"/>
      <c r="DP26" s="5"/>
      <c r="DQ26" s="5"/>
      <c r="DR26" s="5"/>
      <c r="DS26" s="5"/>
      <c r="DT26" s="5"/>
      <c r="DU26" s="7">
        <v>1.0</v>
      </c>
      <c r="DV26" s="4" t="s">
        <v>144</v>
      </c>
      <c r="DW26" s="5"/>
      <c r="DX26" s="5"/>
      <c r="DY26" s="5"/>
      <c r="DZ26" s="5"/>
      <c r="EA26" s="5"/>
      <c r="EB26" s="5"/>
    </row>
    <row r="27" ht="14.25" customHeight="1">
      <c r="A27" s="4" t="s">
        <v>181</v>
      </c>
      <c r="B27" s="4" t="s">
        <v>180</v>
      </c>
      <c r="C27" s="4" t="s">
        <v>134</v>
      </c>
      <c r="D27" s="4" t="s">
        <v>135</v>
      </c>
      <c r="E27" s="5"/>
      <c r="F27" s="5"/>
      <c r="G27" s="4" t="s">
        <v>155</v>
      </c>
      <c r="H27" s="6" t="s">
        <v>137</v>
      </c>
      <c r="I27" s="5"/>
      <c r="J27" s="5"/>
      <c r="K27" s="5"/>
      <c r="L27" s="4" t="s">
        <v>138</v>
      </c>
      <c r="M27" s="5"/>
      <c r="N27" s="5"/>
      <c r="O27" s="4">
        <v>0.2</v>
      </c>
      <c r="P27" s="4">
        <v>0.2</v>
      </c>
      <c r="Q27" s="4" t="s">
        <v>139</v>
      </c>
      <c r="R27" s="4">
        <v>40.0</v>
      </c>
      <c r="S27" s="4">
        <v>28.0</v>
      </c>
      <c r="T27" s="4">
        <v>5.0</v>
      </c>
      <c r="U27" s="4" t="s">
        <v>140</v>
      </c>
      <c r="V27" s="5"/>
      <c r="W27" s="5"/>
      <c r="X27" s="5"/>
      <c r="Y27" s="5"/>
      <c r="Z27" s="5"/>
      <c r="AA27" s="5"/>
      <c r="AB27" s="5"/>
      <c r="AC27" s="5"/>
      <c r="AD27" s="5"/>
      <c r="AE27" s="4" t="s">
        <v>139</v>
      </c>
      <c r="AF27" s="5"/>
      <c r="AG27" s="5"/>
      <c r="AH27" s="5"/>
      <c r="AI27" s="4" t="s">
        <v>140</v>
      </c>
      <c r="AJ27" s="4" t="s">
        <v>141</v>
      </c>
      <c r="AK27" s="4" t="s">
        <v>142</v>
      </c>
      <c r="AL27" s="4" t="s">
        <v>143</v>
      </c>
      <c r="AM27" s="4">
        <v>15.0</v>
      </c>
      <c r="AN27" s="7">
        <v>16.0</v>
      </c>
      <c r="AO27" s="4" t="s">
        <v>144</v>
      </c>
      <c r="AP27" s="4">
        <v>1.0</v>
      </c>
      <c r="AQ27" s="4">
        <v>0.0</v>
      </c>
      <c r="AR27" s="4">
        <v>0.0</v>
      </c>
      <c r="AS27" s="5"/>
      <c r="AT27" s="4" t="s">
        <v>145</v>
      </c>
      <c r="AU27" s="4" t="s">
        <v>133</v>
      </c>
      <c r="AV27" s="5"/>
      <c r="AW27" s="4" t="s">
        <v>146</v>
      </c>
      <c r="AX27" s="4">
        <v>1.0</v>
      </c>
      <c r="AY27" s="4" t="s">
        <v>147</v>
      </c>
      <c r="AZ27" s="5"/>
      <c r="BA27" s="5"/>
      <c r="BB27" s="5"/>
      <c r="BC27" s="4">
        <v>0.0</v>
      </c>
      <c r="BD27" s="4" t="s">
        <v>148</v>
      </c>
      <c r="BE27" s="4" t="s">
        <v>149</v>
      </c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4">
        <v>0.0</v>
      </c>
      <c r="BQ27" s="4" t="s">
        <v>147</v>
      </c>
      <c r="BR27" s="5"/>
      <c r="BS27" s="4" t="s">
        <v>147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7">
        <v>12.0</v>
      </c>
      <c r="CE27" s="4" t="s">
        <v>144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7">
        <v>1.2</v>
      </c>
      <c r="DH27" s="4" t="s">
        <v>144</v>
      </c>
      <c r="DI27" s="5"/>
      <c r="DJ27" s="5"/>
      <c r="DK27" s="7">
        <v>0.9</v>
      </c>
      <c r="DL27" s="4" t="s">
        <v>144</v>
      </c>
      <c r="DM27" s="5"/>
      <c r="DN27" s="5"/>
      <c r="DO27" s="5"/>
      <c r="DP27" s="5"/>
      <c r="DQ27" s="5"/>
      <c r="DR27" s="5"/>
      <c r="DS27" s="5"/>
      <c r="DT27" s="5"/>
      <c r="DU27" s="7">
        <v>1.0</v>
      </c>
      <c r="DV27" s="4" t="s">
        <v>144</v>
      </c>
      <c r="DW27" s="5"/>
      <c r="DX27" s="5"/>
      <c r="DY27" s="5"/>
      <c r="DZ27" s="5"/>
      <c r="EA27" s="5"/>
      <c r="EB27" s="5"/>
    </row>
    <row r="28" ht="14.25" customHeight="1">
      <c r="A28" s="4" t="s">
        <v>182</v>
      </c>
      <c r="B28" s="4" t="s">
        <v>180</v>
      </c>
      <c r="C28" s="4" t="s">
        <v>134</v>
      </c>
      <c r="D28" s="4" t="s">
        <v>135</v>
      </c>
      <c r="E28" s="5"/>
      <c r="F28" s="5"/>
      <c r="G28" s="4" t="s">
        <v>155</v>
      </c>
      <c r="H28" s="6" t="s">
        <v>137</v>
      </c>
      <c r="I28" s="5"/>
      <c r="J28" s="5"/>
      <c r="K28" s="5"/>
      <c r="L28" s="4" t="s">
        <v>138</v>
      </c>
      <c r="M28" s="5"/>
      <c r="N28" s="5"/>
      <c r="O28" s="4">
        <v>0.2</v>
      </c>
      <c r="P28" s="4">
        <v>0.2</v>
      </c>
      <c r="Q28" s="4" t="s">
        <v>139</v>
      </c>
      <c r="R28" s="4">
        <v>40.0</v>
      </c>
      <c r="S28" s="4">
        <v>28.0</v>
      </c>
      <c r="T28" s="4">
        <v>5.0</v>
      </c>
      <c r="U28" s="4" t="s">
        <v>140</v>
      </c>
      <c r="V28" s="5"/>
      <c r="W28" s="5"/>
      <c r="X28" s="5"/>
      <c r="Y28" s="5"/>
      <c r="Z28" s="5"/>
      <c r="AA28" s="5"/>
      <c r="AB28" s="5"/>
      <c r="AC28" s="5"/>
      <c r="AD28" s="5"/>
      <c r="AE28" s="4" t="s">
        <v>139</v>
      </c>
      <c r="AF28" s="5"/>
      <c r="AG28" s="5"/>
      <c r="AH28" s="5"/>
      <c r="AI28" s="4" t="s">
        <v>140</v>
      </c>
      <c r="AJ28" s="4" t="s">
        <v>141</v>
      </c>
      <c r="AK28" s="4" t="s">
        <v>142</v>
      </c>
      <c r="AL28" s="4" t="s">
        <v>143</v>
      </c>
      <c r="AM28" s="4">
        <v>15.0</v>
      </c>
      <c r="AN28" s="7">
        <v>11.0</v>
      </c>
      <c r="AO28" s="4" t="s">
        <v>144</v>
      </c>
      <c r="AP28" s="4">
        <v>1.0</v>
      </c>
      <c r="AQ28" s="4">
        <v>0.0</v>
      </c>
      <c r="AR28" s="4">
        <v>0.0</v>
      </c>
      <c r="AS28" s="5"/>
      <c r="AT28" s="4" t="s">
        <v>145</v>
      </c>
      <c r="AU28" s="4" t="s">
        <v>133</v>
      </c>
      <c r="AV28" s="5"/>
      <c r="AW28" s="4" t="s">
        <v>146</v>
      </c>
      <c r="AX28" s="4">
        <v>1.0</v>
      </c>
      <c r="AY28" s="4" t="s">
        <v>147</v>
      </c>
      <c r="AZ28" s="5"/>
      <c r="BA28" s="5"/>
      <c r="BB28" s="5"/>
      <c r="BC28" s="4">
        <v>0.0</v>
      </c>
      <c r="BD28" s="4" t="s">
        <v>148</v>
      </c>
      <c r="BE28" s="4" t="s">
        <v>149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4">
        <v>0.0</v>
      </c>
      <c r="BQ28" s="4" t="s">
        <v>147</v>
      </c>
      <c r="BR28" s="5"/>
      <c r="BS28" s="4" t="s">
        <v>147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7">
        <v>12.0</v>
      </c>
      <c r="CE28" s="4" t="s">
        <v>144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7">
        <v>1.2</v>
      </c>
      <c r="DH28" s="4" t="s">
        <v>144</v>
      </c>
      <c r="DI28" s="5"/>
      <c r="DJ28" s="5"/>
      <c r="DK28" s="7">
        <v>0.9</v>
      </c>
      <c r="DL28" s="4" t="s">
        <v>144</v>
      </c>
      <c r="DM28" s="5"/>
      <c r="DN28" s="5"/>
      <c r="DO28" s="5"/>
      <c r="DP28" s="5"/>
      <c r="DQ28" s="5"/>
      <c r="DR28" s="5"/>
      <c r="DS28" s="5"/>
      <c r="DT28" s="5"/>
      <c r="DU28" s="7">
        <v>1.0</v>
      </c>
      <c r="DV28" s="4" t="s">
        <v>144</v>
      </c>
      <c r="DW28" s="5"/>
      <c r="DX28" s="5"/>
      <c r="DY28" s="5"/>
      <c r="DZ28" s="5"/>
      <c r="EA28" s="5"/>
      <c r="EB28" s="5"/>
    </row>
    <row r="29" ht="14.25" customHeight="1">
      <c r="A29" s="4" t="s">
        <v>183</v>
      </c>
      <c r="B29" s="4" t="s">
        <v>167</v>
      </c>
      <c r="C29" s="4" t="s">
        <v>134</v>
      </c>
      <c r="D29" s="4" t="s">
        <v>135</v>
      </c>
      <c r="E29" s="5"/>
      <c r="F29" s="5"/>
      <c r="G29" s="4" t="s">
        <v>155</v>
      </c>
      <c r="H29" s="6" t="s">
        <v>137</v>
      </c>
      <c r="I29" s="5"/>
      <c r="J29" s="5"/>
      <c r="K29" s="5"/>
      <c r="L29" s="4" t="s">
        <v>138</v>
      </c>
      <c r="M29" s="5"/>
      <c r="N29" s="5"/>
      <c r="O29" s="4">
        <v>0.2</v>
      </c>
      <c r="P29" s="4">
        <v>0.2</v>
      </c>
      <c r="Q29" s="4" t="s">
        <v>139</v>
      </c>
      <c r="R29" s="4">
        <v>40.0</v>
      </c>
      <c r="S29" s="4">
        <v>28.0</v>
      </c>
      <c r="T29" s="4">
        <v>5.0</v>
      </c>
      <c r="U29" s="4" t="s">
        <v>140</v>
      </c>
      <c r="V29" s="5"/>
      <c r="W29" s="5"/>
      <c r="X29" s="5"/>
      <c r="Y29" s="5"/>
      <c r="Z29" s="5"/>
      <c r="AA29" s="5"/>
      <c r="AB29" s="5"/>
      <c r="AC29" s="5"/>
      <c r="AD29" s="5"/>
      <c r="AE29" s="4" t="s">
        <v>139</v>
      </c>
      <c r="AF29" s="5"/>
      <c r="AG29" s="5"/>
      <c r="AH29" s="5"/>
      <c r="AI29" s="4" t="s">
        <v>140</v>
      </c>
      <c r="AJ29" s="4" t="s">
        <v>141</v>
      </c>
      <c r="AK29" s="4" t="s">
        <v>142</v>
      </c>
      <c r="AL29" s="4" t="s">
        <v>143</v>
      </c>
      <c r="AM29" s="4">
        <v>15.0</v>
      </c>
      <c r="AN29" s="7">
        <v>8.0</v>
      </c>
      <c r="AO29" s="4" t="s">
        <v>144</v>
      </c>
      <c r="AP29" s="4">
        <v>1.0</v>
      </c>
      <c r="AQ29" s="4">
        <v>0.0</v>
      </c>
      <c r="AR29" s="4">
        <v>0.0</v>
      </c>
      <c r="AS29" s="5"/>
      <c r="AT29" s="4" t="s">
        <v>145</v>
      </c>
      <c r="AU29" s="4" t="s">
        <v>133</v>
      </c>
      <c r="AV29" s="5"/>
      <c r="AW29" s="4" t="s">
        <v>146</v>
      </c>
      <c r="AX29" s="4">
        <v>1.0</v>
      </c>
      <c r="AY29" s="4" t="s">
        <v>147</v>
      </c>
      <c r="AZ29" s="5"/>
      <c r="BA29" s="5"/>
      <c r="BB29" s="5"/>
      <c r="BC29" s="4">
        <v>0.0</v>
      </c>
      <c r="BD29" s="4" t="s">
        <v>148</v>
      </c>
      <c r="BE29" s="4" t="s">
        <v>149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4">
        <v>0.0</v>
      </c>
      <c r="BQ29" s="4" t="s">
        <v>147</v>
      </c>
      <c r="BR29" s="5"/>
      <c r="BS29" s="4" t="s">
        <v>147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7">
        <v>12.0</v>
      </c>
      <c r="CE29" s="4" t="s">
        <v>144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7">
        <v>1.2</v>
      </c>
      <c r="DH29" s="4" t="s">
        <v>144</v>
      </c>
      <c r="DI29" s="5"/>
      <c r="DJ29" s="5"/>
      <c r="DK29" s="7">
        <v>0.9</v>
      </c>
      <c r="DL29" s="4" t="s">
        <v>144</v>
      </c>
      <c r="DM29" s="5"/>
      <c r="DN29" s="5"/>
      <c r="DO29" s="5"/>
      <c r="DP29" s="5"/>
      <c r="DQ29" s="5"/>
      <c r="DR29" s="5"/>
      <c r="DS29" s="5"/>
      <c r="DT29" s="5"/>
      <c r="DU29" s="7">
        <v>1.0</v>
      </c>
      <c r="DV29" s="4" t="s">
        <v>144</v>
      </c>
      <c r="DW29" s="5"/>
      <c r="DX29" s="5"/>
      <c r="DY29" s="5"/>
      <c r="DZ29" s="5"/>
      <c r="EA29" s="5"/>
      <c r="EB29" s="5"/>
    </row>
    <row r="30" ht="14.25" customHeight="1">
      <c r="A30" s="4" t="s">
        <v>184</v>
      </c>
      <c r="B30" s="4" t="s">
        <v>167</v>
      </c>
      <c r="C30" s="4" t="s">
        <v>134</v>
      </c>
      <c r="D30" s="4" t="s">
        <v>135</v>
      </c>
      <c r="E30" s="5"/>
      <c r="F30" s="5"/>
      <c r="G30" s="4" t="s">
        <v>155</v>
      </c>
      <c r="H30" s="6" t="s">
        <v>137</v>
      </c>
      <c r="I30" s="5"/>
      <c r="J30" s="5"/>
      <c r="K30" s="5"/>
      <c r="L30" s="4" t="s">
        <v>138</v>
      </c>
      <c r="M30" s="5"/>
      <c r="N30" s="5"/>
      <c r="O30" s="4">
        <v>0.2</v>
      </c>
      <c r="P30" s="4">
        <v>0.2</v>
      </c>
      <c r="Q30" s="4" t="s">
        <v>139</v>
      </c>
      <c r="R30" s="4">
        <v>40.0</v>
      </c>
      <c r="S30" s="4">
        <v>28.0</v>
      </c>
      <c r="T30" s="4">
        <v>5.0</v>
      </c>
      <c r="U30" s="4" t="s">
        <v>140</v>
      </c>
      <c r="V30" s="5"/>
      <c r="W30" s="5"/>
      <c r="X30" s="5"/>
      <c r="Y30" s="5"/>
      <c r="Z30" s="5"/>
      <c r="AA30" s="5"/>
      <c r="AB30" s="5"/>
      <c r="AC30" s="5"/>
      <c r="AD30" s="5"/>
      <c r="AE30" s="4" t="s">
        <v>139</v>
      </c>
      <c r="AF30" s="5"/>
      <c r="AG30" s="5"/>
      <c r="AH30" s="5"/>
      <c r="AI30" s="4" t="s">
        <v>140</v>
      </c>
      <c r="AJ30" s="4" t="s">
        <v>141</v>
      </c>
      <c r="AK30" s="4" t="s">
        <v>142</v>
      </c>
      <c r="AL30" s="4" t="s">
        <v>143</v>
      </c>
      <c r="AM30" s="4">
        <v>15.0</v>
      </c>
      <c r="AN30" s="7">
        <v>9.0</v>
      </c>
      <c r="AO30" s="4" t="s">
        <v>144</v>
      </c>
      <c r="AP30" s="4">
        <v>1.0</v>
      </c>
      <c r="AQ30" s="4">
        <v>0.0</v>
      </c>
      <c r="AR30" s="4">
        <v>0.0</v>
      </c>
      <c r="AS30" s="5"/>
      <c r="AT30" s="4" t="s">
        <v>145</v>
      </c>
      <c r="AU30" s="4" t="s">
        <v>133</v>
      </c>
      <c r="AV30" s="5"/>
      <c r="AW30" s="4" t="s">
        <v>146</v>
      </c>
      <c r="AX30" s="4">
        <v>1.0</v>
      </c>
      <c r="AY30" s="4" t="s">
        <v>147</v>
      </c>
      <c r="AZ30" s="5"/>
      <c r="BA30" s="5"/>
      <c r="BB30" s="5"/>
      <c r="BC30" s="4">
        <v>0.0</v>
      </c>
      <c r="BD30" s="4" t="s">
        <v>148</v>
      </c>
      <c r="BE30" s="4" t="s">
        <v>149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4">
        <v>0.0</v>
      </c>
      <c r="BQ30" s="4" t="s">
        <v>147</v>
      </c>
      <c r="BR30" s="5"/>
      <c r="BS30" s="4" t="s">
        <v>147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7">
        <v>12.0</v>
      </c>
      <c r="CE30" s="4" t="s">
        <v>144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7">
        <v>1.2</v>
      </c>
      <c r="DH30" s="4" t="s">
        <v>144</v>
      </c>
      <c r="DI30" s="5"/>
      <c r="DJ30" s="5"/>
      <c r="DK30" s="7">
        <v>0.9</v>
      </c>
      <c r="DL30" s="4" t="s">
        <v>144</v>
      </c>
      <c r="DM30" s="5"/>
      <c r="DN30" s="5"/>
      <c r="DO30" s="5"/>
      <c r="DP30" s="5"/>
      <c r="DQ30" s="5"/>
      <c r="DR30" s="5"/>
      <c r="DS30" s="5"/>
      <c r="DT30" s="5"/>
      <c r="DU30" s="7">
        <v>1.0</v>
      </c>
      <c r="DV30" s="4" t="s">
        <v>144</v>
      </c>
      <c r="DW30" s="5"/>
      <c r="DX30" s="5"/>
      <c r="DY30" s="5"/>
      <c r="DZ30" s="5"/>
      <c r="EA30" s="5"/>
      <c r="EB30" s="5"/>
    </row>
    <row r="31" ht="14.25" customHeight="1">
      <c r="A31" s="4" t="s">
        <v>185</v>
      </c>
      <c r="B31" s="4" t="s">
        <v>167</v>
      </c>
      <c r="C31" s="4" t="s">
        <v>134</v>
      </c>
      <c r="D31" s="4" t="s">
        <v>135</v>
      </c>
      <c r="E31" s="5"/>
      <c r="F31" s="5"/>
      <c r="G31" s="4" t="s">
        <v>155</v>
      </c>
      <c r="H31" s="6" t="s">
        <v>137</v>
      </c>
      <c r="I31" s="5"/>
      <c r="J31" s="5"/>
      <c r="K31" s="5"/>
      <c r="L31" s="4" t="s">
        <v>138</v>
      </c>
      <c r="M31" s="5"/>
      <c r="N31" s="5"/>
      <c r="O31" s="4">
        <v>0.2</v>
      </c>
      <c r="P31" s="4">
        <v>0.2</v>
      </c>
      <c r="Q31" s="4" t="s">
        <v>139</v>
      </c>
      <c r="R31" s="4">
        <v>40.0</v>
      </c>
      <c r="S31" s="4">
        <v>28.0</v>
      </c>
      <c r="T31" s="4">
        <v>5.0</v>
      </c>
      <c r="U31" s="4" t="s">
        <v>140</v>
      </c>
      <c r="V31" s="5"/>
      <c r="W31" s="5"/>
      <c r="X31" s="5"/>
      <c r="Y31" s="5"/>
      <c r="Z31" s="5"/>
      <c r="AA31" s="5"/>
      <c r="AB31" s="5"/>
      <c r="AC31" s="5"/>
      <c r="AD31" s="5"/>
      <c r="AE31" s="4" t="s">
        <v>139</v>
      </c>
      <c r="AF31" s="5"/>
      <c r="AG31" s="5"/>
      <c r="AH31" s="5"/>
      <c r="AI31" s="4" t="s">
        <v>140</v>
      </c>
      <c r="AJ31" s="4" t="s">
        <v>141</v>
      </c>
      <c r="AK31" s="4" t="s">
        <v>142</v>
      </c>
      <c r="AL31" s="4" t="s">
        <v>143</v>
      </c>
      <c r="AM31" s="4">
        <v>15.0</v>
      </c>
      <c r="AN31" s="7">
        <v>6.0</v>
      </c>
      <c r="AO31" s="4" t="s">
        <v>144</v>
      </c>
      <c r="AP31" s="4">
        <v>1.0</v>
      </c>
      <c r="AQ31" s="4">
        <v>0.0</v>
      </c>
      <c r="AR31" s="4">
        <v>0.0</v>
      </c>
      <c r="AS31" s="5"/>
      <c r="AT31" s="4" t="s">
        <v>145</v>
      </c>
      <c r="AU31" s="4" t="s">
        <v>133</v>
      </c>
      <c r="AV31" s="5"/>
      <c r="AW31" s="4" t="s">
        <v>146</v>
      </c>
      <c r="AX31" s="4">
        <v>1.0</v>
      </c>
      <c r="AY31" s="4" t="s">
        <v>147</v>
      </c>
      <c r="AZ31" s="5"/>
      <c r="BA31" s="5"/>
      <c r="BB31" s="5"/>
      <c r="BC31" s="4">
        <v>0.0</v>
      </c>
      <c r="BD31" s="4" t="s">
        <v>148</v>
      </c>
      <c r="BE31" s="4" t="s">
        <v>149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4">
        <v>0.0</v>
      </c>
      <c r="BQ31" s="4" t="s">
        <v>147</v>
      </c>
      <c r="BR31" s="5"/>
      <c r="BS31" s="4" t="s">
        <v>147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7">
        <v>12.0</v>
      </c>
      <c r="CE31" s="4" t="s">
        <v>144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7">
        <v>1.2</v>
      </c>
      <c r="DH31" s="4" t="s">
        <v>144</v>
      </c>
      <c r="DI31" s="5"/>
      <c r="DJ31" s="5"/>
      <c r="DK31" s="7">
        <v>0.9</v>
      </c>
      <c r="DL31" s="4" t="s">
        <v>144</v>
      </c>
      <c r="DM31" s="5"/>
      <c r="DN31" s="5"/>
      <c r="DO31" s="5"/>
      <c r="DP31" s="5"/>
      <c r="DQ31" s="5"/>
      <c r="DR31" s="5"/>
      <c r="DS31" s="5"/>
      <c r="DT31" s="5"/>
      <c r="DU31" s="7">
        <v>1.0</v>
      </c>
      <c r="DV31" s="4" t="s">
        <v>144</v>
      </c>
      <c r="DW31" s="5"/>
      <c r="DX31" s="5"/>
      <c r="DY31" s="5"/>
      <c r="DZ31" s="5"/>
      <c r="EA31" s="5"/>
      <c r="EB31" s="5"/>
    </row>
    <row r="32" ht="14.25" customHeight="1">
      <c r="A32" s="4" t="s">
        <v>186</v>
      </c>
      <c r="B32" s="4" t="s">
        <v>167</v>
      </c>
      <c r="C32" s="4" t="s">
        <v>134</v>
      </c>
      <c r="D32" s="4" t="s">
        <v>135</v>
      </c>
      <c r="E32" s="5"/>
      <c r="F32" s="5"/>
      <c r="G32" s="4" t="s">
        <v>155</v>
      </c>
      <c r="H32" s="6" t="s">
        <v>137</v>
      </c>
      <c r="I32" s="5"/>
      <c r="J32" s="5"/>
      <c r="K32" s="5"/>
      <c r="L32" s="4" t="s">
        <v>138</v>
      </c>
      <c r="M32" s="5"/>
      <c r="N32" s="5"/>
      <c r="O32" s="4">
        <v>0.2</v>
      </c>
      <c r="P32" s="4">
        <v>0.2</v>
      </c>
      <c r="Q32" s="4" t="s">
        <v>139</v>
      </c>
      <c r="R32" s="4">
        <v>40.0</v>
      </c>
      <c r="S32" s="4">
        <v>28.0</v>
      </c>
      <c r="T32" s="4">
        <v>5.0</v>
      </c>
      <c r="U32" s="4" t="s">
        <v>140</v>
      </c>
      <c r="V32" s="5"/>
      <c r="W32" s="5"/>
      <c r="X32" s="5"/>
      <c r="Y32" s="5"/>
      <c r="Z32" s="5"/>
      <c r="AA32" s="5"/>
      <c r="AB32" s="5"/>
      <c r="AC32" s="5"/>
      <c r="AD32" s="5"/>
      <c r="AE32" s="4" t="s">
        <v>139</v>
      </c>
      <c r="AF32" s="5"/>
      <c r="AG32" s="5"/>
      <c r="AH32" s="5"/>
      <c r="AI32" s="4" t="s">
        <v>140</v>
      </c>
      <c r="AJ32" s="4" t="s">
        <v>141</v>
      </c>
      <c r="AK32" s="4" t="s">
        <v>142</v>
      </c>
      <c r="AL32" s="4" t="s">
        <v>143</v>
      </c>
      <c r="AM32" s="4">
        <v>15.0</v>
      </c>
      <c r="AN32" s="7">
        <v>12.0</v>
      </c>
      <c r="AO32" s="4" t="s">
        <v>144</v>
      </c>
      <c r="AP32" s="4">
        <v>1.0</v>
      </c>
      <c r="AQ32" s="4">
        <v>0.0</v>
      </c>
      <c r="AR32" s="4">
        <v>0.0</v>
      </c>
      <c r="AS32" s="5"/>
      <c r="AT32" s="4" t="s">
        <v>145</v>
      </c>
      <c r="AU32" s="4" t="s">
        <v>133</v>
      </c>
      <c r="AV32" s="5"/>
      <c r="AW32" s="4" t="s">
        <v>146</v>
      </c>
      <c r="AX32" s="4">
        <v>1.0</v>
      </c>
      <c r="AY32" s="4" t="s">
        <v>147</v>
      </c>
      <c r="AZ32" s="5"/>
      <c r="BA32" s="5"/>
      <c r="BB32" s="5"/>
      <c r="BC32" s="4">
        <v>0.0</v>
      </c>
      <c r="BD32" s="4" t="s">
        <v>148</v>
      </c>
      <c r="BE32" s="4" t="s">
        <v>149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4">
        <v>0.0</v>
      </c>
      <c r="BQ32" s="4" t="s">
        <v>147</v>
      </c>
      <c r="BR32" s="5"/>
      <c r="BS32" s="4" t="s">
        <v>147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7">
        <v>12.0</v>
      </c>
      <c r="CE32" s="4" t="s">
        <v>144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7">
        <v>1.2</v>
      </c>
      <c r="DH32" s="4" t="s">
        <v>144</v>
      </c>
      <c r="DI32" s="5"/>
      <c r="DJ32" s="5"/>
      <c r="DK32" s="7">
        <v>0.9</v>
      </c>
      <c r="DL32" s="4" t="s">
        <v>144</v>
      </c>
      <c r="DM32" s="5"/>
      <c r="DN32" s="5"/>
      <c r="DO32" s="5"/>
      <c r="DP32" s="5"/>
      <c r="DQ32" s="5"/>
      <c r="DR32" s="5"/>
      <c r="DS32" s="5"/>
      <c r="DT32" s="5"/>
      <c r="DU32" s="7">
        <v>1.0</v>
      </c>
      <c r="DV32" s="4" t="s">
        <v>144</v>
      </c>
      <c r="DW32" s="5"/>
      <c r="DX32" s="5"/>
      <c r="DY32" s="5"/>
      <c r="DZ32" s="5"/>
      <c r="EA32" s="5"/>
      <c r="EB32" s="5"/>
    </row>
    <row r="33" ht="14.25" customHeight="1">
      <c r="A33" s="4" t="s">
        <v>187</v>
      </c>
      <c r="B33" s="4" t="s">
        <v>188</v>
      </c>
      <c r="C33" s="4" t="s">
        <v>134</v>
      </c>
      <c r="D33" s="4" t="s">
        <v>135</v>
      </c>
      <c r="E33" s="5"/>
      <c r="F33" s="5"/>
      <c r="G33" s="4" t="s">
        <v>155</v>
      </c>
      <c r="H33" s="6" t="s">
        <v>137</v>
      </c>
      <c r="I33" s="5"/>
      <c r="J33" s="5"/>
      <c r="K33" s="5"/>
      <c r="L33" s="4" t="s">
        <v>138</v>
      </c>
      <c r="M33" s="5"/>
      <c r="N33" s="5"/>
      <c r="O33" s="4">
        <v>0.2</v>
      </c>
      <c r="P33" s="4">
        <v>0.2</v>
      </c>
      <c r="Q33" s="4" t="s">
        <v>139</v>
      </c>
      <c r="R33" s="4">
        <v>40.0</v>
      </c>
      <c r="S33" s="4">
        <v>28.0</v>
      </c>
      <c r="T33" s="4">
        <v>5.0</v>
      </c>
      <c r="U33" s="4" t="s">
        <v>140</v>
      </c>
      <c r="V33" s="5"/>
      <c r="W33" s="5"/>
      <c r="X33" s="5"/>
      <c r="Y33" s="5"/>
      <c r="Z33" s="5"/>
      <c r="AA33" s="5"/>
      <c r="AB33" s="5"/>
      <c r="AC33" s="5"/>
      <c r="AD33" s="5"/>
      <c r="AE33" s="4" t="s">
        <v>139</v>
      </c>
      <c r="AF33" s="5"/>
      <c r="AG33" s="5"/>
      <c r="AH33" s="5"/>
      <c r="AI33" s="4" t="s">
        <v>140</v>
      </c>
      <c r="AJ33" s="4" t="s">
        <v>141</v>
      </c>
      <c r="AK33" s="4" t="s">
        <v>142</v>
      </c>
      <c r="AL33" s="4" t="s">
        <v>143</v>
      </c>
      <c r="AM33" s="4">
        <v>15.0</v>
      </c>
      <c r="AN33" s="7">
        <v>6.0</v>
      </c>
      <c r="AO33" s="4" t="s">
        <v>144</v>
      </c>
      <c r="AP33" s="4">
        <v>1.0</v>
      </c>
      <c r="AQ33" s="4">
        <v>0.0</v>
      </c>
      <c r="AR33" s="4">
        <v>0.0</v>
      </c>
      <c r="AS33" s="5"/>
      <c r="AT33" s="4" t="s">
        <v>145</v>
      </c>
      <c r="AU33" s="4" t="s">
        <v>133</v>
      </c>
      <c r="AV33" s="5"/>
      <c r="AW33" s="4" t="s">
        <v>146</v>
      </c>
      <c r="AX33" s="4">
        <v>1.0</v>
      </c>
      <c r="AY33" s="4" t="s">
        <v>147</v>
      </c>
      <c r="AZ33" s="5"/>
      <c r="BA33" s="5"/>
      <c r="BB33" s="5"/>
      <c r="BC33" s="4">
        <v>0.0</v>
      </c>
      <c r="BD33" s="4" t="s">
        <v>148</v>
      </c>
      <c r="BE33" s="4" t="s">
        <v>149</v>
      </c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4">
        <v>0.0</v>
      </c>
      <c r="BQ33" s="4" t="s">
        <v>147</v>
      </c>
      <c r="BR33" s="5"/>
      <c r="BS33" s="4" t="s">
        <v>147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7">
        <v>12.0</v>
      </c>
      <c r="CE33" s="4" t="s">
        <v>144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7">
        <v>1.2</v>
      </c>
      <c r="DH33" s="4" t="s">
        <v>144</v>
      </c>
      <c r="DI33" s="5"/>
      <c r="DJ33" s="5"/>
      <c r="DK33" s="7">
        <v>0.9</v>
      </c>
      <c r="DL33" s="4" t="s">
        <v>144</v>
      </c>
      <c r="DM33" s="5"/>
      <c r="DN33" s="5"/>
      <c r="DO33" s="5"/>
      <c r="DP33" s="5"/>
      <c r="DQ33" s="5"/>
      <c r="DR33" s="5"/>
      <c r="DS33" s="5"/>
      <c r="DT33" s="5"/>
      <c r="DU33" s="7">
        <v>1.0</v>
      </c>
      <c r="DV33" s="4" t="s">
        <v>144</v>
      </c>
      <c r="DW33" s="5"/>
      <c r="DX33" s="5"/>
      <c r="DY33" s="5"/>
      <c r="DZ33" s="5"/>
      <c r="EA33" s="5"/>
      <c r="EB33" s="5"/>
    </row>
    <row r="34" ht="14.25" customHeight="1">
      <c r="A34" s="4" t="s">
        <v>189</v>
      </c>
      <c r="B34" s="4" t="s">
        <v>188</v>
      </c>
      <c r="C34" s="4" t="s">
        <v>134</v>
      </c>
      <c r="D34" s="4" t="s">
        <v>135</v>
      </c>
      <c r="E34" s="5"/>
      <c r="F34" s="5"/>
      <c r="G34" s="4" t="s">
        <v>155</v>
      </c>
      <c r="H34" s="6" t="s">
        <v>137</v>
      </c>
      <c r="I34" s="5"/>
      <c r="J34" s="5"/>
      <c r="K34" s="5"/>
      <c r="L34" s="4" t="s">
        <v>138</v>
      </c>
      <c r="M34" s="5"/>
      <c r="N34" s="5"/>
      <c r="O34" s="4">
        <v>0.2</v>
      </c>
      <c r="P34" s="4">
        <v>0.2</v>
      </c>
      <c r="Q34" s="4" t="s">
        <v>139</v>
      </c>
      <c r="R34" s="4">
        <v>40.0</v>
      </c>
      <c r="S34" s="4">
        <v>28.0</v>
      </c>
      <c r="T34" s="4">
        <v>5.0</v>
      </c>
      <c r="U34" s="4" t="s">
        <v>140</v>
      </c>
      <c r="V34" s="5"/>
      <c r="W34" s="5"/>
      <c r="X34" s="5"/>
      <c r="Y34" s="5"/>
      <c r="Z34" s="5"/>
      <c r="AA34" s="5"/>
      <c r="AB34" s="5"/>
      <c r="AC34" s="5"/>
      <c r="AD34" s="5"/>
      <c r="AE34" s="4" t="s">
        <v>139</v>
      </c>
      <c r="AF34" s="5"/>
      <c r="AG34" s="5"/>
      <c r="AH34" s="5"/>
      <c r="AI34" s="4" t="s">
        <v>140</v>
      </c>
      <c r="AJ34" s="4" t="s">
        <v>141</v>
      </c>
      <c r="AK34" s="4" t="s">
        <v>142</v>
      </c>
      <c r="AL34" s="4" t="s">
        <v>143</v>
      </c>
      <c r="AM34" s="4">
        <v>15.0</v>
      </c>
      <c r="AN34" s="7">
        <v>18.0</v>
      </c>
      <c r="AO34" s="4" t="s">
        <v>144</v>
      </c>
      <c r="AP34" s="4">
        <v>1.0</v>
      </c>
      <c r="AQ34" s="4">
        <v>0.0</v>
      </c>
      <c r="AR34" s="4">
        <v>0.0</v>
      </c>
      <c r="AS34" s="5"/>
      <c r="AT34" s="4" t="s">
        <v>145</v>
      </c>
      <c r="AU34" s="4" t="s">
        <v>133</v>
      </c>
      <c r="AV34" s="5"/>
      <c r="AW34" s="4" t="s">
        <v>146</v>
      </c>
      <c r="AX34" s="4">
        <v>1.0</v>
      </c>
      <c r="AY34" s="4" t="s">
        <v>147</v>
      </c>
      <c r="AZ34" s="5"/>
      <c r="BA34" s="5"/>
      <c r="BB34" s="5"/>
      <c r="BC34" s="4">
        <v>0.0</v>
      </c>
      <c r="BD34" s="4" t="s">
        <v>148</v>
      </c>
      <c r="BE34" s="4" t="s">
        <v>149</v>
      </c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4">
        <v>0.0</v>
      </c>
      <c r="BQ34" s="4" t="s">
        <v>147</v>
      </c>
      <c r="BR34" s="5"/>
      <c r="BS34" s="4" t="s">
        <v>147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7">
        <v>12.0</v>
      </c>
      <c r="CE34" s="4" t="s">
        <v>144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7">
        <v>1.2</v>
      </c>
      <c r="DH34" s="4" t="s">
        <v>144</v>
      </c>
      <c r="DI34" s="5"/>
      <c r="DJ34" s="5"/>
      <c r="DK34" s="7">
        <v>0.9</v>
      </c>
      <c r="DL34" s="4" t="s">
        <v>144</v>
      </c>
      <c r="DM34" s="5"/>
      <c r="DN34" s="5"/>
      <c r="DO34" s="5"/>
      <c r="DP34" s="5"/>
      <c r="DQ34" s="5"/>
      <c r="DR34" s="5"/>
      <c r="DS34" s="5"/>
      <c r="DT34" s="5"/>
      <c r="DU34" s="7">
        <v>1.0</v>
      </c>
      <c r="DV34" s="4" t="s">
        <v>144</v>
      </c>
      <c r="DW34" s="5"/>
      <c r="DX34" s="5"/>
      <c r="DY34" s="5"/>
      <c r="DZ34" s="5"/>
      <c r="EA34" s="5"/>
      <c r="EB34" s="5"/>
    </row>
    <row r="35" ht="14.25" customHeight="1">
      <c r="A35" s="4" t="s">
        <v>190</v>
      </c>
      <c r="B35" s="4" t="s">
        <v>191</v>
      </c>
      <c r="C35" s="4" t="s">
        <v>134</v>
      </c>
      <c r="D35" s="4" t="s">
        <v>135</v>
      </c>
      <c r="E35" s="5"/>
      <c r="F35" s="5"/>
      <c r="G35" s="4" t="s">
        <v>155</v>
      </c>
      <c r="H35" s="6" t="s">
        <v>137</v>
      </c>
      <c r="I35" s="5"/>
      <c r="J35" s="5"/>
      <c r="K35" s="5"/>
      <c r="L35" s="4" t="s">
        <v>138</v>
      </c>
      <c r="M35" s="5"/>
      <c r="N35" s="5"/>
      <c r="O35" s="4">
        <v>0.2</v>
      </c>
      <c r="P35" s="4">
        <v>0.2</v>
      </c>
      <c r="Q35" s="4" t="s">
        <v>139</v>
      </c>
      <c r="R35" s="4">
        <v>40.0</v>
      </c>
      <c r="S35" s="4">
        <v>28.0</v>
      </c>
      <c r="T35" s="4">
        <v>5.0</v>
      </c>
      <c r="U35" s="4" t="s">
        <v>140</v>
      </c>
      <c r="V35" s="5"/>
      <c r="W35" s="5"/>
      <c r="X35" s="5"/>
      <c r="Y35" s="5"/>
      <c r="Z35" s="5"/>
      <c r="AA35" s="5"/>
      <c r="AB35" s="5"/>
      <c r="AC35" s="5"/>
      <c r="AD35" s="5"/>
      <c r="AE35" s="4" t="s">
        <v>139</v>
      </c>
      <c r="AF35" s="5"/>
      <c r="AG35" s="5"/>
      <c r="AH35" s="5"/>
      <c r="AI35" s="4" t="s">
        <v>140</v>
      </c>
      <c r="AJ35" s="4" t="s">
        <v>141</v>
      </c>
      <c r="AK35" s="4" t="s">
        <v>142</v>
      </c>
      <c r="AL35" s="4" t="s">
        <v>143</v>
      </c>
      <c r="AM35" s="4">
        <v>15.0</v>
      </c>
      <c r="AN35" s="7">
        <v>6.0</v>
      </c>
      <c r="AO35" s="4" t="s">
        <v>144</v>
      </c>
      <c r="AP35" s="4">
        <v>1.0</v>
      </c>
      <c r="AQ35" s="4">
        <v>0.0</v>
      </c>
      <c r="AR35" s="4">
        <v>0.0</v>
      </c>
      <c r="AS35" s="5"/>
      <c r="AT35" s="4" t="s">
        <v>145</v>
      </c>
      <c r="AU35" s="4" t="s">
        <v>133</v>
      </c>
      <c r="AV35" s="5"/>
      <c r="AW35" s="4" t="s">
        <v>146</v>
      </c>
      <c r="AX35" s="4">
        <v>1.0</v>
      </c>
      <c r="AY35" s="4" t="s">
        <v>147</v>
      </c>
      <c r="AZ35" s="5"/>
      <c r="BA35" s="5"/>
      <c r="BB35" s="5"/>
      <c r="BC35" s="4">
        <v>0.0</v>
      </c>
      <c r="BD35" s="4" t="s">
        <v>148</v>
      </c>
      <c r="BE35" s="4" t="s">
        <v>149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4">
        <v>0.0</v>
      </c>
      <c r="BQ35" s="4" t="s">
        <v>147</v>
      </c>
      <c r="BR35" s="5"/>
      <c r="BS35" s="4" t="s">
        <v>147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7">
        <v>12.0</v>
      </c>
      <c r="CE35" s="4" t="s">
        <v>144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7">
        <v>1.2</v>
      </c>
      <c r="DH35" s="4" t="s">
        <v>144</v>
      </c>
      <c r="DI35" s="5"/>
      <c r="DJ35" s="5"/>
      <c r="DK35" s="7">
        <v>0.9</v>
      </c>
      <c r="DL35" s="4" t="s">
        <v>144</v>
      </c>
      <c r="DM35" s="5"/>
      <c r="DN35" s="5"/>
      <c r="DO35" s="5"/>
      <c r="DP35" s="5"/>
      <c r="DQ35" s="5"/>
      <c r="DR35" s="5"/>
      <c r="DS35" s="5"/>
      <c r="DT35" s="5"/>
      <c r="DU35" s="7">
        <v>1.0</v>
      </c>
      <c r="DV35" s="4" t="s">
        <v>144</v>
      </c>
      <c r="DW35" s="5"/>
      <c r="DX35" s="5"/>
      <c r="DY35" s="5"/>
      <c r="DZ35" s="5"/>
      <c r="EA35" s="5"/>
      <c r="EB35" s="5"/>
    </row>
    <row r="36" ht="14.25" customHeight="1">
      <c r="A36" s="4" t="s">
        <v>192</v>
      </c>
      <c r="B36" s="4" t="s">
        <v>191</v>
      </c>
      <c r="C36" s="4" t="s">
        <v>134</v>
      </c>
      <c r="D36" s="4" t="s">
        <v>135</v>
      </c>
      <c r="E36" s="5"/>
      <c r="F36" s="5"/>
      <c r="G36" s="4" t="s">
        <v>155</v>
      </c>
      <c r="H36" s="6" t="s">
        <v>137</v>
      </c>
      <c r="I36" s="5"/>
      <c r="J36" s="5"/>
      <c r="K36" s="5"/>
      <c r="L36" s="4" t="s">
        <v>138</v>
      </c>
      <c r="M36" s="5"/>
      <c r="N36" s="5"/>
      <c r="O36" s="4">
        <v>0.2</v>
      </c>
      <c r="P36" s="4">
        <v>0.2</v>
      </c>
      <c r="Q36" s="4" t="s">
        <v>139</v>
      </c>
      <c r="R36" s="4">
        <v>40.0</v>
      </c>
      <c r="S36" s="4">
        <v>28.0</v>
      </c>
      <c r="T36" s="4">
        <v>5.0</v>
      </c>
      <c r="U36" s="4" t="s">
        <v>140</v>
      </c>
      <c r="V36" s="5"/>
      <c r="W36" s="5"/>
      <c r="X36" s="5"/>
      <c r="Y36" s="5"/>
      <c r="Z36" s="5"/>
      <c r="AA36" s="5"/>
      <c r="AB36" s="5"/>
      <c r="AC36" s="5"/>
      <c r="AD36" s="5"/>
      <c r="AE36" s="4" t="s">
        <v>139</v>
      </c>
      <c r="AF36" s="5"/>
      <c r="AG36" s="5"/>
      <c r="AH36" s="5"/>
      <c r="AI36" s="4" t="s">
        <v>140</v>
      </c>
      <c r="AJ36" s="4" t="s">
        <v>141</v>
      </c>
      <c r="AK36" s="4" t="s">
        <v>142</v>
      </c>
      <c r="AL36" s="4" t="s">
        <v>143</v>
      </c>
      <c r="AM36" s="4">
        <v>15.0</v>
      </c>
      <c r="AN36" s="7">
        <v>15.0</v>
      </c>
      <c r="AO36" s="4" t="s">
        <v>144</v>
      </c>
      <c r="AP36" s="4">
        <v>1.0</v>
      </c>
      <c r="AQ36" s="4">
        <v>0.0</v>
      </c>
      <c r="AR36" s="4">
        <v>0.0</v>
      </c>
      <c r="AS36" s="5"/>
      <c r="AT36" s="4" t="s">
        <v>145</v>
      </c>
      <c r="AU36" s="4" t="s">
        <v>133</v>
      </c>
      <c r="AV36" s="5"/>
      <c r="AW36" s="4" t="s">
        <v>146</v>
      </c>
      <c r="AX36" s="4">
        <v>1.0</v>
      </c>
      <c r="AY36" s="4" t="s">
        <v>147</v>
      </c>
      <c r="AZ36" s="5"/>
      <c r="BA36" s="5"/>
      <c r="BB36" s="5"/>
      <c r="BC36" s="4">
        <v>0.0</v>
      </c>
      <c r="BD36" s="4" t="s">
        <v>148</v>
      </c>
      <c r="BE36" s="4" t="s">
        <v>149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4">
        <v>0.0</v>
      </c>
      <c r="BQ36" s="4" t="s">
        <v>147</v>
      </c>
      <c r="BR36" s="5"/>
      <c r="BS36" s="4" t="s">
        <v>147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7">
        <v>12.0</v>
      </c>
      <c r="CE36" s="4" t="s">
        <v>144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7">
        <v>1.2</v>
      </c>
      <c r="DH36" s="4" t="s">
        <v>144</v>
      </c>
      <c r="DI36" s="5"/>
      <c r="DJ36" s="5"/>
      <c r="DK36" s="7">
        <v>0.9</v>
      </c>
      <c r="DL36" s="4" t="s">
        <v>144</v>
      </c>
      <c r="DM36" s="5"/>
      <c r="DN36" s="5"/>
      <c r="DO36" s="5"/>
      <c r="DP36" s="5"/>
      <c r="DQ36" s="5"/>
      <c r="DR36" s="5"/>
      <c r="DS36" s="5"/>
      <c r="DT36" s="5"/>
      <c r="DU36" s="7">
        <v>1.0</v>
      </c>
      <c r="DV36" s="4" t="s">
        <v>144</v>
      </c>
      <c r="DW36" s="5"/>
      <c r="DX36" s="5"/>
      <c r="DY36" s="5"/>
      <c r="DZ36" s="5"/>
      <c r="EA36" s="5"/>
      <c r="EB36" s="5"/>
    </row>
    <row r="37" ht="14.25" customHeight="1">
      <c r="A37" s="4" t="s">
        <v>193</v>
      </c>
      <c r="B37" s="4" t="s">
        <v>191</v>
      </c>
      <c r="C37" s="4" t="s">
        <v>134</v>
      </c>
      <c r="D37" s="4" t="s">
        <v>135</v>
      </c>
      <c r="E37" s="5"/>
      <c r="F37" s="5"/>
      <c r="G37" s="4" t="s">
        <v>155</v>
      </c>
      <c r="H37" s="6" t="s">
        <v>137</v>
      </c>
      <c r="I37" s="5"/>
      <c r="J37" s="5"/>
      <c r="K37" s="5"/>
      <c r="L37" s="4" t="s">
        <v>138</v>
      </c>
      <c r="M37" s="5"/>
      <c r="N37" s="5"/>
      <c r="O37" s="4">
        <v>0.2</v>
      </c>
      <c r="P37" s="4">
        <v>0.2</v>
      </c>
      <c r="Q37" s="4" t="s">
        <v>139</v>
      </c>
      <c r="R37" s="4">
        <v>40.0</v>
      </c>
      <c r="S37" s="4">
        <v>28.0</v>
      </c>
      <c r="T37" s="4">
        <v>5.0</v>
      </c>
      <c r="U37" s="4" t="s">
        <v>140</v>
      </c>
      <c r="V37" s="5"/>
      <c r="W37" s="5"/>
      <c r="X37" s="5"/>
      <c r="Y37" s="5"/>
      <c r="Z37" s="5"/>
      <c r="AA37" s="5"/>
      <c r="AB37" s="5"/>
      <c r="AC37" s="5"/>
      <c r="AD37" s="5"/>
      <c r="AE37" s="4" t="s">
        <v>139</v>
      </c>
      <c r="AF37" s="5"/>
      <c r="AG37" s="5"/>
      <c r="AH37" s="5"/>
      <c r="AI37" s="4" t="s">
        <v>140</v>
      </c>
      <c r="AJ37" s="4" t="s">
        <v>141</v>
      </c>
      <c r="AK37" s="4" t="s">
        <v>142</v>
      </c>
      <c r="AL37" s="4" t="s">
        <v>143</v>
      </c>
      <c r="AM37" s="4">
        <v>15.0</v>
      </c>
      <c r="AN37" s="7">
        <v>6.0</v>
      </c>
      <c r="AO37" s="4" t="s">
        <v>144</v>
      </c>
      <c r="AP37" s="4">
        <v>1.0</v>
      </c>
      <c r="AQ37" s="4">
        <v>0.0</v>
      </c>
      <c r="AR37" s="4">
        <v>0.0</v>
      </c>
      <c r="AS37" s="5"/>
      <c r="AT37" s="4" t="s">
        <v>145</v>
      </c>
      <c r="AU37" s="4" t="s">
        <v>133</v>
      </c>
      <c r="AV37" s="5"/>
      <c r="AW37" s="4" t="s">
        <v>146</v>
      </c>
      <c r="AX37" s="4">
        <v>1.0</v>
      </c>
      <c r="AY37" s="4" t="s">
        <v>147</v>
      </c>
      <c r="AZ37" s="5"/>
      <c r="BA37" s="5"/>
      <c r="BB37" s="5"/>
      <c r="BC37" s="4">
        <v>0.0</v>
      </c>
      <c r="BD37" s="4" t="s">
        <v>148</v>
      </c>
      <c r="BE37" s="4" t="s">
        <v>149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4">
        <v>0.0</v>
      </c>
      <c r="BQ37" s="4" t="s">
        <v>147</v>
      </c>
      <c r="BR37" s="5"/>
      <c r="BS37" s="4" t="s">
        <v>147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7">
        <v>12.0</v>
      </c>
      <c r="CE37" s="4" t="s">
        <v>144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7">
        <v>1.2</v>
      </c>
      <c r="DH37" s="4" t="s">
        <v>144</v>
      </c>
      <c r="DI37" s="5"/>
      <c r="DJ37" s="5"/>
      <c r="DK37" s="7">
        <v>0.9</v>
      </c>
      <c r="DL37" s="4" t="s">
        <v>144</v>
      </c>
      <c r="DM37" s="5"/>
      <c r="DN37" s="5"/>
      <c r="DO37" s="5"/>
      <c r="DP37" s="5"/>
      <c r="DQ37" s="5"/>
      <c r="DR37" s="5"/>
      <c r="DS37" s="5"/>
      <c r="DT37" s="5"/>
      <c r="DU37" s="7">
        <v>1.0</v>
      </c>
      <c r="DV37" s="4" t="s">
        <v>144</v>
      </c>
      <c r="DW37" s="5"/>
      <c r="DX37" s="5"/>
      <c r="DY37" s="5"/>
      <c r="DZ37" s="5"/>
      <c r="EA37" s="5"/>
      <c r="EB37" s="5"/>
    </row>
    <row r="38" ht="14.25" customHeight="1">
      <c r="A38" s="4" t="s">
        <v>194</v>
      </c>
      <c r="B38" s="4" t="s">
        <v>167</v>
      </c>
      <c r="C38" s="4" t="s">
        <v>134</v>
      </c>
      <c r="D38" s="4" t="s">
        <v>135</v>
      </c>
      <c r="E38" s="5"/>
      <c r="F38" s="5"/>
      <c r="G38" s="4" t="s">
        <v>155</v>
      </c>
      <c r="H38" s="6" t="s">
        <v>137</v>
      </c>
      <c r="I38" s="5"/>
      <c r="J38" s="5"/>
      <c r="K38" s="5"/>
      <c r="L38" s="4" t="s">
        <v>138</v>
      </c>
      <c r="M38" s="5"/>
      <c r="N38" s="5"/>
      <c r="O38" s="4">
        <v>0.2</v>
      </c>
      <c r="P38" s="4">
        <v>0.2</v>
      </c>
      <c r="Q38" s="4" t="s">
        <v>139</v>
      </c>
      <c r="R38" s="4">
        <v>40.0</v>
      </c>
      <c r="S38" s="4">
        <v>28.0</v>
      </c>
      <c r="T38" s="4">
        <v>5.0</v>
      </c>
      <c r="U38" s="4" t="s">
        <v>140</v>
      </c>
      <c r="V38" s="5"/>
      <c r="W38" s="5"/>
      <c r="X38" s="5"/>
      <c r="Y38" s="5"/>
      <c r="Z38" s="5"/>
      <c r="AA38" s="5"/>
      <c r="AB38" s="5"/>
      <c r="AC38" s="5"/>
      <c r="AD38" s="5"/>
      <c r="AE38" s="4" t="s">
        <v>139</v>
      </c>
      <c r="AF38" s="5"/>
      <c r="AG38" s="5"/>
      <c r="AH38" s="5"/>
      <c r="AI38" s="4" t="s">
        <v>140</v>
      </c>
      <c r="AJ38" s="4" t="s">
        <v>141</v>
      </c>
      <c r="AK38" s="4" t="s">
        <v>142</v>
      </c>
      <c r="AL38" s="4" t="s">
        <v>143</v>
      </c>
      <c r="AM38" s="4">
        <v>15.0</v>
      </c>
      <c r="AN38" s="7">
        <v>12.0</v>
      </c>
      <c r="AO38" s="4" t="s">
        <v>144</v>
      </c>
      <c r="AP38" s="4">
        <v>1.0</v>
      </c>
      <c r="AQ38" s="4">
        <v>0.0</v>
      </c>
      <c r="AR38" s="4">
        <v>0.0</v>
      </c>
      <c r="AS38" s="5"/>
      <c r="AT38" s="4" t="s">
        <v>145</v>
      </c>
      <c r="AU38" s="4" t="s">
        <v>133</v>
      </c>
      <c r="AV38" s="5"/>
      <c r="AW38" s="4" t="s">
        <v>146</v>
      </c>
      <c r="AX38" s="4">
        <v>1.0</v>
      </c>
      <c r="AY38" s="4" t="s">
        <v>147</v>
      </c>
      <c r="AZ38" s="5"/>
      <c r="BA38" s="5"/>
      <c r="BB38" s="5"/>
      <c r="BC38" s="4">
        <v>0.0</v>
      </c>
      <c r="BD38" s="4" t="s">
        <v>148</v>
      </c>
      <c r="BE38" s="4" t="s">
        <v>149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4">
        <v>0.0</v>
      </c>
      <c r="BQ38" s="4" t="s">
        <v>147</v>
      </c>
      <c r="BR38" s="5"/>
      <c r="BS38" s="4" t="s">
        <v>147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7">
        <v>12.0</v>
      </c>
      <c r="CE38" s="4" t="s">
        <v>144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7">
        <v>1.2</v>
      </c>
      <c r="DH38" s="4" t="s">
        <v>144</v>
      </c>
      <c r="DI38" s="5"/>
      <c r="DJ38" s="5"/>
      <c r="DK38" s="7">
        <v>0.9</v>
      </c>
      <c r="DL38" s="4" t="s">
        <v>144</v>
      </c>
      <c r="DM38" s="5"/>
      <c r="DN38" s="5"/>
      <c r="DO38" s="5"/>
      <c r="DP38" s="5"/>
      <c r="DQ38" s="5"/>
      <c r="DR38" s="5"/>
      <c r="DS38" s="5"/>
      <c r="DT38" s="5"/>
      <c r="DU38" s="7">
        <v>1.0</v>
      </c>
      <c r="DV38" s="4" t="s">
        <v>144</v>
      </c>
      <c r="DW38" s="5"/>
      <c r="DX38" s="5"/>
      <c r="DY38" s="5"/>
      <c r="DZ38" s="5"/>
      <c r="EA38" s="5"/>
      <c r="EB38" s="5"/>
    </row>
    <row r="39" ht="14.25" customHeight="1">
      <c r="A39" s="4" t="s">
        <v>195</v>
      </c>
      <c r="B39" s="4" t="s">
        <v>167</v>
      </c>
      <c r="C39" s="4" t="s">
        <v>134</v>
      </c>
      <c r="D39" s="4" t="s">
        <v>135</v>
      </c>
      <c r="E39" s="5"/>
      <c r="F39" s="5"/>
      <c r="G39" s="4" t="s">
        <v>155</v>
      </c>
      <c r="H39" s="6" t="s">
        <v>137</v>
      </c>
      <c r="I39" s="5"/>
      <c r="J39" s="5"/>
      <c r="K39" s="5"/>
      <c r="L39" s="4" t="s">
        <v>138</v>
      </c>
      <c r="M39" s="5"/>
      <c r="N39" s="5"/>
      <c r="O39" s="4">
        <v>0.2</v>
      </c>
      <c r="P39" s="4">
        <v>0.2</v>
      </c>
      <c r="Q39" s="4" t="s">
        <v>139</v>
      </c>
      <c r="R39" s="4">
        <v>40.0</v>
      </c>
      <c r="S39" s="4">
        <v>28.0</v>
      </c>
      <c r="T39" s="4">
        <v>5.0</v>
      </c>
      <c r="U39" s="4" t="s">
        <v>140</v>
      </c>
      <c r="V39" s="5"/>
      <c r="W39" s="5"/>
      <c r="X39" s="5"/>
      <c r="Y39" s="5"/>
      <c r="Z39" s="5"/>
      <c r="AA39" s="5"/>
      <c r="AB39" s="5"/>
      <c r="AC39" s="5"/>
      <c r="AD39" s="5"/>
      <c r="AE39" s="4" t="s">
        <v>139</v>
      </c>
      <c r="AF39" s="5"/>
      <c r="AG39" s="5"/>
      <c r="AH39" s="5"/>
      <c r="AI39" s="4" t="s">
        <v>140</v>
      </c>
      <c r="AJ39" s="4" t="s">
        <v>141</v>
      </c>
      <c r="AK39" s="4" t="s">
        <v>142</v>
      </c>
      <c r="AL39" s="4" t="s">
        <v>143</v>
      </c>
      <c r="AM39" s="4">
        <v>15.0</v>
      </c>
      <c r="AN39" s="7">
        <v>6.0</v>
      </c>
      <c r="AO39" s="4" t="s">
        <v>144</v>
      </c>
      <c r="AP39" s="4">
        <v>1.0</v>
      </c>
      <c r="AQ39" s="4">
        <v>0.0</v>
      </c>
      <c r="AR39" s="4">
        <v>0.0</v>
      </c>
      <c r="AS39" s="5"/>
      <c r="AT39" s="4" t="s">
        <v>145</v>
      </c>
      <c r="AU39" s="4" t="s">
        <v>133</v>
      </c>
      <c r="AV39" s="5"/>
      <c r="AW39" s="4" t="s">
        <v>146</v>
      </c>
      <c r="AX39" s="4">
        <v>1.0</v>
      </c>
      <c r="AY39" s="4" t="s">
        <v>147</v>
      </c>
      <c r="AZ39" s="5"/>
      <c r="BA39" s="5"/>
      <c r="BB39" s="5"/>
      <c r="BC39" s="4">
        <v>0.0</v>
      </c>
      <c r="BD39" s="4" t="s">
        <v>148</v>
      </c>
      <c r="BE39" s="4" t="s">
        <v>149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4">
        <v>0.0</v>
      </c>
      <c r="BQ39" s="4" t="s">
        <v>147</v>
      </c>
      <c r="BR39" s="5"/>
      <c r="BS39" s="4" t="s">
        <v>147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7">
        <v>12.0</v>
      </c>
      <c r="CE39" s="4" t="s">
        <v>144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7">
        <v>1.2</v>
      </c>
      <c r="DH39" s="4" t="s">
        <v>144</v>
      </c>
      <c r="DI39" s="5"/>
      <c r="DJ39" s="5"/>
      <c r="DK39" s="7">
        <v>0.9</v>
      </c>
      <c r="DL39" s="4" t="s">
        <v>144</v>
      </c>
      <c r="DM39" s="5"/>
      <c r="DN39" s="5"/>
      <c r="DO39" s="5"/>
      <c r="DP39" s="5"/>
      <c r="DQ39" s="5"/>
      <c r="DR39" s="5"/>
      <c r="DS39" s="5"/>
      <c r="DT39" s="5"/>
      <c r="DU39" s="7">
        <v>1.0</v>
      </c>
      <c r="DV39" s="4" t="s">
        <v>144</v>
      </c>
      <c r="DW39" s="5"/>
      <c r="DX39" s="5"/>
      <c r="DY39" s="5"/>
      <c r="DZ39" s="5"/>
      <c r="EA39" s="5"/>
      <c r="EB39" s="5"/>
    </row>
    <row r="40" ht="14.25" customHeight="1">
      <c r="A40" s="4" t="s">
        <v>196</v>
      </c>
      <c r="B40" s="4" t="s">
        <v>167</v>
      </c>
      <c r="C40" s="4" t="s">
        <v>134</v>
      </c>
      <c r="D40" s="4" t="s">
        <v>135</v>
      </c>
      <c r="E40" s="5"/>
      <c r="F40" s="5"/>
      <c r="G40" s="4" t="s">
        <v>155</v>
      </c>
      <c r="H40" s="6" t="s">
        <v>137</v>
      </c>
      <c r="I40" s="5"/>
      <c r="J40" s="5"/>
      <c r="K40" s="5"/>
      <c r="L40" s="4" t="s">
        <v>138</v>
      </c>
      <c r="M40" s="5"/>
      <c r="N40" s="5"/>
      <c r="O40" s="4">
        <v>0.2</v>
      </c>
      <c r="P40" s="4">
        <v>0.2</v>
      </c>
      <c r="Q40" s="4" t="s">
        <v>139</v>
      </c>
      <c r="R40" s="4">
        <v>40.0</v>
      </c>
      <c r="S40" s="4">
        <v>28.0</v>
      </c>
      <c r="T40" s="4">
        <v>5.0</v>
      </c>
      <c r="U40" s="4" t="s">
        <v>140</v>
      </c>
      <c r="V40" s="5"/>
      <c r="W40" s="5"/>
      <c r="X40" s="5"/>
      <c r="Y40" s="5"/>
      <c r="Z40" s="5"/>
      <c r="AA40" s="5"/>
      <c r="AB40" s="5"/>
      <c r="AC40" s="5"/>
      <c r="AD40" s="5"/>
      <c r="AE40" s="4" t="s">
        <v>139</v>
      </c>
      <c r="AF40" s="5"/>
      <c r="AG40" s="5"/>
      <c r="AH40" s="5"/>
      <c r="AI40" s="4" t="s">
        <v>140</v>
      </c>
      <c r="AJ40" s="4" t="s">
        <v>141</v>
      </c>
      <c r="AK40" s="4" t="s">
        <v>142</v>
      </c>
      <c r="AL40" s="4" t="s">
        <v>143</v>
      </c>
      <c r="AM40" s="4">
        <v>15.0</v>
      </c>
      <c r="AN40" s="7">
        <v>7.0</v>
      </c>
      <c r="AO40" s="4" t="s">
        <v>144</v>
      </c>
      <c r="AP40" s="4">
        <v>1.0</v>
      </c>
      <c r="AQ40" s="4">
        <v>0.0</v>
      </c>
      <c r="AR40" s="4">
        <v>0.0</v>
      </c>
      <c r="AS40" s="5"/>
      <c r="AT40" s="4" t="s">
        <v>145</v>
      </c>
      <c r="AU40" s="4" t="s">
        <v>133</v>
      </c>
      <c r="AV40" s="5"/>
      <c r="AW40" s="4" t="s">
        <v>146</v>
      </c>
      <c r="AX40" s="4">
        <v>1.0</v>
      </c>
      <c r="AY40" s="4" t="s">
        <v>147</v>
      </c>
      <c r="AZ40" s="5"/>
      <c r="BA40" s="5"/>
      <c r="BB40" s="5"/>
      <c r="BC40" s="4">
        <v>0.0</v>
      </c>
      <c r="BD40" s="4" t="s">
        <v>148</v>
      </c>
      <c r="BE40" s="4" t="s">
        <v>149</v>
      </c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4">
        <v>0.0</v>
      </c>
      <c r="BQ40" s="4" t="s">
        <v>147</v>
      </c>
      <c r="BR40" s="5"/>
      <c r="BS40" s="4" t="s">
        <v>147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7">
        <v>12.0</v>
      </c>
      <c r="CE40" s="4" t="s">
        <v>144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7">
        <v>1.2</v>
      </c>
      <c r="DH40" s="4" t="s">
        <v>144</v>
      </c>
      <c r="DI40" s="5"/>
      <c r="DJ40" s="5"/>
      <c r="DK40" s="7">
        <v>0.9</v>
      </c>
      <c r="DL40" s="4" t="s">
        <v>144</v>
      </c>
      <c r="DM40" s="5"/>
      <c r="DN40" s="5"/>
      <c r="DO40" s="5"/>
      <c r="DP40" s="5"/>
      <c r="DQ40" s="5"/>
      <c r="DR40" s="5"/>
      <c r="DS40" s="5"/>
      <c r="DT40" s="5"/>
      <c r="DU40" s="7">
        <v>1.0</v>
      </c>
      <c r="DV40" s="4" t="s">
        <v>144</v>
      </c>
      <c r="DW40" s="5"/>
      <c r="DX40" s="5"/>
      <c r="DY40" s="5"/>
      <c r="DZ40" s="5"/>
      <c r="EA40" s="5"/>
      <c r="EB40" s="5"/>
    </row>
    <row r="41" ht="14.25" customHeight="1">
      <c r="A41" s="4" t="s">
        <v>197</v>
      </c>
      <c r="B41" s="4" t="s">
        <v>167</v>
      </c>
      <c r="C41" s="4" t="s">
        <v>134</v>
      </c>
      <c r="D41" s="4" t="s">
        <v>135</v>
      </c>
      <c r="E41" s="5"/>
      <c r="F41" s="5"/>
      <c r="G41" s="4" t="s">
        <v>155</v>
      </c>
      <c r="H41" s="6" t="s">
        <v>137</v>
      </c>
      <c r="I41" s="5"/>
      <c r="J41" s="5"/>
      <c r="K41" s="5"/>
      <c r="L41" s="4" t="s">
        <v>138</v>
      </c>
      <c r="M41" s="5"/>
      <c r="N41" s="5"/>
      <c r="O41" s="4">
        <v>0.2</v>
      </c>
      <c r="P41" s="4">
        <v>0.2</v>
      </c>
      <c r="Q41" s="4" t="s">
        <v>139</v>
      </c>
      <c r="R41" s="4">
        <v>40.0</v>
      </c>
      <c r="S41" s="4">
        <v>28.0</v>
      </c>
      <c r="T41" s="4">
        <v>5.0</v>
      </c>
      <c r="U41" s="4" t="s">
        <v>140</v>
      </c>
      <c r="V41" s="5"/>
      <c r="W41" s="5"/>
      <c r="X41" s="5"/>
      <c r="Y41" s="5"/>
      <c r="Z41" s="5"/>
      <c r="AA41" s="5"/>
      <c r="AB41" s="5"/>
      <c r="AC41" s="5"/>
      <c r="AD41" s="5"/>
      <c r="AE41" s="4" t="s">
        <v>139</v>
      </c>
      <c r="AF41" s="5"/>
      <c r="AG41" s="5"/>
      <c r="AH41" s="5"/>
      <c r="AI41" s="4" t="s">
        <v>140</v>
      </c>
      <c r="AJ41" s="4" t="s">
        <v>141</v>
      </c>
      <c r="AK41" s="4" t="s">
        <v>142</v>
      </c>
      <c r="AL41" s="4" t="s">
        <v>143</v>
      </c>
      <c r="AM41" s="4">
        <v>15.0</v>
      </c>
      <c r="AN41" s="7">
        <v>17.0</v>
      </c>
      <c r="AO41" s="4" t="s">
        <v>144</v>
      </c>
      <c r="AP41" s="4">
        <v>1.0</v>
      </c>
      <c r="AQ41" s="4">
        <v>0.0</v>
      </c>
      <c r="AR41" s="4">
        <v>0.0</v>
      </c>
      <c r="AS41" s="5"/>
      <c r="AT41" s="4" t="s">
        <v>145</v>
      </c>
      <c r="AU41" s="4" t="s">
        <v>133</v>
      </c>
      <c r="AV41" s="5"/>
      <c r="AW41" s="4" t="s">
        <v>146</v>
      </c>
      <c r="AX41" s="4">
        <v>1.0</v>
      </c>
      <c r="AY41" s="4" t="s">
        <v>147</v>
      </c>
      <c r="AZ41" s="5"/>
      <c r="BA41" s="5"/>
      <c r="BB41" s="5"/>
      <c r="BC41" s="4">
        <v>0.0</v>
      </c>
      <c r="BD41" s="4" t="s">
        <v>148</v>
      </c>
      <c r="BE41" s="4" t="s">
        <v>149</v>
      </c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4">
        <v>0.0</v>
      </c>
      <c r="BQ41" s="4" t="s">
        <v>147</v>
      </c>
      <c r="BR41" s="5"/>
      <c r="BS41" s="4" t="s">
        <v>147</v>
      </c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7">
        <v>12.0</v>
      </c>
      <c r="CE41" s="4" t="s">
        <v>144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7">
        <v>1.2</v>
      </c>
      <c r="DH41" s="4" t="s">
        <v>144</v>
      </c>
      <c r="DI41" s="5"/>
      <c r="DJ41" s="5"/>
      <c r="DK41" s="7">
        <v>0.9</v>
      </c>
      <c r="DL41" s="4" t="s">
        <v>144</v>
      </c>
      <c r="DM41" s="5"/>
      <c r="DN41" s="5"/>
      <c r="DO41" s="5"/>
      <c r="DP41" s="5"/>
      <c r="DQ41" s="5"/>
      <c r="DR41" s="5"/>
      <c r="DS41" s="5"/>
      <c r="DT41" s="5"/>
      <c r="DU41" s="7">
        <v>1.0</v>
      </c>
      <c r="DV41" s="4" t="s">
        <v>144</v>
      </c>
      <c r="DW41" s="5"/>
      <c r="DX41" s="5"/>
      <c r="DY41" s="5"/>
      <c r="DZ41" s="5"/>
      <c r="EA41" s="5"/>
      <c r="EB41" s="5"/>
    </row>
    <row r="42" ht="14.25" customHeight="1">
      <c r="A42" s="8" t="s">
        <v>198</v>
      </c>
      <c r="B42" s="8" t="s">
        <v>178</v>
      </c>
      <c r="C42" s="8" t="s">
        <v>134</v>
      </c>
      <c r="D42" s="8" t="s">
        <v>135</v>
      </c>
      <c r="E42" s="9"/>
      <c r="F42" s="9"/>
      <c r="G42" s="8" t="s">
        <v>155</v>
      </c>
      <c r="H42" s="10" t="s">
        <v>137</v>
      </c>
      <c r="I42" s="9"/>
      <c r="J42" s="5"/>
      <c r="K42" s="5"/>
      <c r="L42" s="4" t="s">
        <v>138</v>
      </c>
      <c r="M42" s="5"/>
      <c r="N42" s="5"/>
      <c r="O42" s="4">
        <v>0.2</v>
      </c>
      <c r="P42" s="4">
        <v>0.2</v>
      </c>
      <c r="Q42" s="4" t="s">
        <v>139</v>
      </c>
      <c r="R42" s="4">
        <v>40.0</v>
      </c>
      <c r="S42" s="4">
        <v>28.0</v>
      </c>
      <c r="T42" s="4">
        <v>5.0</v>
      </c>
      <c r="U42" s="4" t="s">
        <v>140</v>
      </c>
      <c r="V42" s="5"/>
      <c r="W42" s="5"/>
      <c r="X42" s="5"/>
      <c r="Y42" s="5"/>
      <c r="Z42" s="5"/>
      <c r="AA42" s="5"/>
      <c r="AB42" s="5"/>
      <c r="AC42" s="5"/>
      <c r="AD42" s="5"/>
      <c r="AE42" s="4" t="s">
        <v>139</v>
      </c>
      <c r="AF42" s="5"/>
      <c r="AG42" s="5"/>
      <c r="AH42" s="5"/>
      <c r="AI42" s="4" t="s">
        <v>140</v>
      </c>
      <c r="AJ42" s="4" t="s">
        <v>141</v>
      </c>
      <c r="AK42" s="4" t="s">
        <v>142</v>
      </c>
      <c r="AL42" s="4" t="s">
        <v>143</v>
      </c>
      <c r="AM42" s="4">
        <v>15.0</v>
      </c>
      <c r="AN42" s="7">
        <v>16.0</v>
      </c>
      <c r="AO42" s="4" t="s">
        <v>144</v>
      </c>
      <c r="AP42" s="4">
        <v>1.0</v>
      </c>
      <c r="AQ42" s="4">
        <v>0.0</v>
      </c>
      <c r="AR42" s="4">
        <v>0.0</v>
      </c>
      <c r="AS42" s="5"/>
      <c r="AT42" s="4" t="s">
        <v>145</v>
      </c>
      <c r="AU42" s="4" t="s">
        <v>133</v>
      </c>
      <c r="AV42" s="5"/>
      <c r="AW42" s="4" t="s">
        <v>146</v>
      </c>
      <c r="AX42" s="4">
        <v>1.0</v>
      </c>
      <c r="AY42" s="4" t="s">
        <v>147</v>
      </c>
      <c r="AZ42" s="5"/>
      <c r="BA42" s="5"/>
      <c r="BB42" s="5"/>
      <c r="BC42" s="4">
        <v>0.0</v>
      </c>
      <c r="BD42" s="4" t="s">
        <v>148</v>
      </c>
      <c r="BE42" s="4" t="s">
        <v>149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4">
        <v>0.0</v>
      </c>
      <c r="BQ42" s="4" t="s">
        <v>147</v>
      </c>
      <c r="BR42" s="5"/>
      <c r="BS42" s="4" t="s">
        <v>147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7">
        <v>12.0</v>
      </c>
      <c r="CE42" s="4" t="s">
        <v>144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7">
        <v>1.2</v>
      </c>
      <c r="DH42" s="4" t="s">
        <v>144</v>
      </c>
      <c r="DI42" s="5"/>
      <c r="DJ42" s="5"/>
      <c r="DK42" s="7">
        <v>0.9</v>
      </c>
      <c r="DL42" s="4" t="s">
        <v>144</v>
      </c>
      <c r="DM42" s="5"/>
      <c r="DN42" s="5"/>
      <c r="DO42" s="5"/>
      <c r="DP42" s="5"/>
      <c r="DQ42" s="5"/>
      <c r="DR42" s="5"/>
      <c r="DS42" s="5"/>
      <c r="DT42" s="5"/>
      <c r="DU42" s="7">
        <v>1.0</v>
      </c>
      <c r="DV42" s="4" t="s">
        <v>144</v>
      </c>
      <c r="DW42" s="5"/>
      <c r="DX42" s="5"/>
      <c r="DY42" s="5"/>
      <c r="DZ42" s="5"/>
      <c r="EA42" s="5"/>
      <c r="EB42" s="5"/>
    </row>
    <row r="43" ht="14.25" customHeight="1">
      <c r="A43" s="11" t="s">
        <v>199</v>
      </c>
      <c r="B43" s="12">
        <v>1839.0</v>
      </c>
      <c r="C43" s="13" t="s">
        <v>134</v>
      </c>
      <c r="D43" s="13" t="s">
        <v>135</v>
      </c>
      <c r="E43" s="14"/>
      <c r="F43" s="14"/>
      <c r="G43" s="15" t="s">
        <v>200</v>
      </c>
      <c r="H43" s="16" t="s">
        <v>201</v>
      </c>
      <c r="I43" s="9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</row>
    <row r="44" ht="14.25" customHeight="1">
      <c r="A44" s="11" t="s">
        <v>202</v>
      </c>
      <c r="B44" s="12">
        <v>1839.0</v>
      </c>
      <c r="C44" s="13" t="s">
        <v>134</v>
      </c>
      <c r="D44" s="13" t="s">
        <v>135</v>
      </c>
      <c r="E44" s="14"/>
      <c r="F44" s="14"/>
      <c r="G44" s="15" t="s">
        <v>200</v>
      </c>
      <c r="H44" s="16" t="s">
        <v>201</v>
      </c>
      <c r="I44" s="9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</row>
    <row r="45" ht="14.25" customHeight="1">
      <c r="A45" s="11" t="s">
        <v>203</v>
      </c>
      <c r="B45" s="12">
        <v>1839.0</v>
      </c>
      <c r="C45" s="13" t="s">
        <v>134</v>
      </c>
      <c r="D45" s="13" t="s">
        <v>135</v>
      </c>
      <c r="E45" s="14"/>
      <c r="F45" s="14"/>
      <c r="G45" s="15" t="s">
        <v>200</v>
      </c>
      <c r="H45" s="16" t="s">
        <v>201</v>
      </c>
      <c r="I45" s="9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</row>
    <row r="46" ht="14.25" customHeight="1">
      <c r="A46" s="11" t="s">
        <v>204</v>
      </c>
      <c r="B46" s="12">
        <v>1839.0</v>
      </c>
      <c r="C46" s="13" t="s">
        <v>134</v>
      </c>
      <c r="D46" s="13" t="s">
        <v>135</v>
      </c>
      <c r="E46" s="14"/>
      <c r="F46" s="14"/>
      <c r="G46" s="15" t="s">
        <v>200</v>
      </c>
      <c r="H46" s="16" t="s">
        <v>201</v>
      </c>
      <c r="I46" s="9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</row>
    <row r="47" ht="14.25" customHeight="1">
      <c r="A47" s="11" t="s">
        <v>205</v>
      </c>
      <c r="B47" s="12">
        <v>1839.0</v>
      </c>
      <c r="C47" s="13" t="s">
        <v>134</v>
      </c>
      <c r="D47" s="13" t="s">
        <v>135</v>
      </c>
      <c r="E47" s="14"/>
      <c r="F47" s="14"/>
      <c r="G47" s="15" t="s">
        <v>206</v>
      </c>
      <c r="H47" s="16" t="s">
        <v>201</v>
      </c>
      <c r="I47" s="9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</row>
    <row r="48" ht="14.25" customHeight="1">
      <c r="A48" s="11" t="s">
        <v>207</v>
      </c>
      <c r="B48" s="12">
        <v>1839.0</v>
      </c>
      <c r="C48" s="13" t="s">
        <v>134</v>
      </c>
      <c r="D48" s="13" t="s">
        <v>135</v>
      </c>
      <c r="E48" s="14"/>
      <c r="F48" s="14"/>
      <c r="G48" s="15" t="s">
        <v>206</v>
      </c>
      <c r="H48" s="16" t="s">
        <v>201</v>
      </c>
      <c r="I48" s="9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</row>
    <row r="49" ht="14.25" customHeight="1">
      <c r="A49" s="11" t="s">
        <v>208</v>
      </c>
      <c r="B49" s="12">
        <v>1839.0</v>
      </c>
      <c r="C49" s="13" t="s">
        <v>134</v>
      </c>
      <c r="D49" s="13" t="s">
        <v>135</v>
      </c>
      <c r="E49" s="14"/>
      <c r="F49" s="14"/>
      <c r="G49" s="15" t="s">
        <v>206</v>
      </c>
      <c r="H49" s="16" t="s">
        <v>201</v>
      </c>
      <c r="I49" s="9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</row>
    <row r="50" ht="14.25" customHeight="1">
      <c r="A50" s="11" t="s">
        <v>209</v>
      </c>
      <c r="B50" s="12">
        <v>1839.0</v>
      </c>
      <c r="C50" s="13" t="s">
        <v>134</v>
      </c>
      <c r="D50" s="13" t="s">
        <v>135</v>
      </c>
      <c r="E50" s="14"/>
      <c r="F50" s="14"/>
      <c r="G50" s="15" t="s">
        <v>206</v>
      </c>
      <c r="H50" s="16" t="s">
        <v>201</v>
      </c>
      <c r="I50" s="9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</row>
    <row r="51" ht="14.25" customHeight="1">
      <c r="A51" s="11" t="s">
        <v>210</v>
      </c>
      <c r="B51" s="12">
        <v>1100.0</v>
      </c>
      <c r="C51" s="13" t="s">
        <v>134</v>
      </c>
      <c r="D51" s="13" t="s">
        <v>135</v>
      </c>
      <c r="E51" s="14"/>
      <c r="F51" s="14"/>
      <c r="G51" s="15" t="s">
        <v>211</v>
      </c>
      <c r="H51" s="16" t="s">
        <v>212</v>
      </c>
      <c r="I51" s="9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</row>
    <row r="52" ht="14.25" customHeight="1">
      <c r="A52" s="11" t="s">
        <v>213</v>
      </c>
      <c r="B52" s="12">
        <v>1100.0</v>
      </c>
      <c r="C52" s="13" t="s">
        <v>134</v>
      </c>
      <c r="D52" s="13" t="s">
        <v>135</v>
      </c>
      <c r="E52" s="14"/>
      <c r="F52" s="14"/>
      <c r="G52" s="15" t="s">
        <v>211</v>
      </c>
      <c r="H52" s="16" t="s">
        <v>212</v>
      </c>
      <c r="I52" s="9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</row>
    <row r="53" ht="14.25" customHeight="1">
      <c r="A53" s="11" t="s">
        <v>214</v>
      </c>
      <c r="B53" s="12">
        <v>1100.0</v>
      </c>
      <c r="C53" s="13" t="s">
        <v>134</v>
      </c>
      <c r="D53" s="13" t="s">
        <v>135</v>
      </c>
      <c r="E53" s="14"/>
      <c r="F53" s="14"/>
      <c r="G53" s="15" t="s">
        <v>211</v>
      </c>
      <c r="H53" s="16" t="s">
        <v>212</v>
      </c>
      <c r="I53" s="9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</row>
    <row r="54" ht="14.25" customHeight="1">
      <c r="A54" s="11" t="s">
        <v>215</v>
      </c>
      <c r="B54" s="12">
        <v>1100.0</v>
      </c>
      <c r="C54" s="13" t="s">
        <v>134</v>
      </c>
      <c r="D54" s="13" t="s">
        <v>135</v>
      </c>
      <c r="E54" s="14"/>
      <c r="F54" s="14"/>
      <c r="G54" s="15" t="s">
        <v>211</v>
      </c>
      <c r="H54" s="16" t="s">
        <v>212</v>
      </c>
      <c r="I54" s="9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</row>
    <row r="55" ht="14.25" customHeight="1">
      <c r="A55" s="11" t="s">
        <v>216</v>
      </c>
      <c r="B55" s="12">
        <v>9538.0</v>
      </c>
      <c r="C55" s="13" t="s">
        <v>134</v>
      </c>
      <c r="D55" s="13" t="s">
        <v>135</v>
      </c>
      <c r="E55" s="14"/>
      <c r="F55" s="14"/>
      <c r="G55" s="15" t="s">
        <v>217</v>
      </c>
      <c r="H55" s="16" t="s">
        <v>218</v>
      </c>
      <c r="I55" s="14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</row>
    <row r="56" ht="14.25" customHeight="1">
      <c r="A56" s="11" t="s">
        <v>219</v>
      </c>
      <c r="B56" s="12">
        <v>9538.0</v>
      </c>
      <c r="C56" s="13" t="s">
        <v>134</v>
      </c>
      <c r="D56" s="13" t="s">
        <v>135</v>
      </c>
      <c r="E56" s="14"/>
      <c r="F56" s="14"/>
      <c r="G56" s="15" t="s">
        <v>217</v>
      </c>
      <c r="H56" s="16" t="s">
        <v>218</v>
      </c>
      <c r="I56" s="14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</row>
    <row r="57" ht="14.25" customHeight="1">
      <c r="A57" s="11" t="s">
        <v>220</v>
      </c>
      <c r="B57" s="12">
        <v>9538.0</v>
      </c>
      <c r="C57" s="13" t="s">
        <v>134</v>
      </c>
      <c r="D57" s="13" t="s">
        <v>135</v>
      </c>
      <c r="E57" s="14"/>
      <c r="F57" s="14"/>
      <c r="G57" s="15" t="s">
        <v>217</v>
      </c>
      <c r="H57" s="16" t="s">
        <v>218</v>
      </c>
      <c r="I57" s="14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</row>
    <row r="58" ht="14.25" customHeight="1">
      <c r="A58" s="11" t="s">
        <v>221</v>
      </c>
      <c r="B58" s="12">
        <v>9538.0</v>
      </c>
      <c r="C58" s="13" t="s">
        <v>134</v>
      </c>
      <c r="D58" s="13" t="s">
        <v>135</v>
      </c>
      <c r="E58" s="14"/>
      <c r="F58" s="14"/>
      <c r="G58" s="15" t="s">
        <v>217</v>
      </c>
      <c r="H58" s="16" t="s">
        <v>218</v>
      </c>
      <c r="I58" s="14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</row>
    <row r="59" ht="14.25" customHeight="1">
      <c r="A59" s="11" t="s">
        <v>222</v>
      </c>
      <c r="B59" s="12">
        <v>9538.0</v>
      </c>
      <c r="C59" s="13" t="s">
        <v>134</v>
      </c>
      <c r="D59" s="13" t="s">
        <v>135</v>
      </c>
      <c r="E59" s="14"/>
      <c r="F59" s="14"/>
      <c r="G59" s="15" t="s">
        <v>217</v>
      </c>
      <c r="H59" s="16" t="s">
        <v>218</v>
      </c>
      <c r="I59" s="14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</row>
    <row r="60" ht="14.25" customHeight="1">
      <c r="A60" s="11" t="s">
        <v>223</v>
      </c>
      <c r="B60" s="12">
        <v>9538.0</v>
      </c>
      <c r="C60" s="13" t="s">
        <v>134</v>
      </c>
      <c r="D60" s="13" t="s">
        <v>135</v>
      </c>
      <c r="E60" s="14"/>
      <c r="F60" s="14"/>
      <c r="G60" s="15" t="s">
        <v>217</v>
      </c>
      <c r="H60" s="16" t="s">
        <v>218</v>
      </c>
      <c r="I60" s="14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</row>
    <row r="61" ht="14.25" customHeight="1">
      <c r="A61" s="11" t="s">
        <v>224</v>
      </c>
      <c r="B61" s="12">
        <v>9538.0</v>
      </c>
      <c r="C61" s="13" t="s">
        <v>134</v>
      </c>
      <c r="D61" s="13" t="s">
        <v>135</v>
      </c>
      <c r="E61" s="14"/>
      <c r="F61" s="14"/>
      <c r="G61" s="15" t="s">
        <v>225</v>
      </c>
      <c r="H61" s="16" t="s">
        <v>218</v>
      </c>
      <c r="I61" s="14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</row>
    <row r="62" ht="14.25" customHeight="1">
      <c r="A62" s="11" t="s">
        <v>226</v>
      </c>
      <c r="B62" s="12">
        <v>9538.0</v>
      </c>
      <c r="C62" s="13" t="s">
        <v>134</v>
      </c>
      <c r="D62" s="13" t="s">
        <v>135</v>
      </c>
      <c r="E62" s="14"/>
      <c r="F62" s="14"/>
      <c r="G62" s="15" t="s">
        <v>225</v>
      </c>
      <c r="H62" s="16" t="s">
        <v>218</v>
      </c>
      <c r="I62" s="14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</row>
    <row r="63" ht="14.25" customHeight="1">
      <c r="A63" s="11" t="s">
        <v>227</v>
      </c>
      <c r="B63" s="12">
        <v>9538.0</v>
      </c>
      <c r="C63" s="13" t="s">
        <v>134</v>
      </c>
      <c r="D63" s="13" t="s">
        <v>135</v>
      </c>
      <c r="E63" s="14"/>
      <c r="F63" s="14"/>
      <c r="G63" s="15" t="s">
        <v>225</v>
      </c>
      <c r="H63" s="16" t="s">
        <v>218</v>
      </c>
      <c r="I63" s="14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</row>
    <row r="64" ht="14.25" customHeight="1">
      <c r="A64" s="11" t="s">
        <v>228</v>
      </c>
      <c r="B64" s="12">
        <v>9538.0</v>
      </c>
      <c r="C64" s="13" t="s">
        <v>134</v>
      </c>
      <c r="D64" s="13" t="s">
        <v>135</v>
      </c>
      <c r="E64" s="14"/>
      <c r="F64" s="14"/>
      <c r="G64" s="15" t="s">
        <v>225</v>
      </c>
      <c r="H64" s="16" t="s">
        <v>218</v>
      </c>
      <c r="I64" s="1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</row>
    <row r="65" ht="14.25" customHeight="1">
      <c r="A65" s="11" t="s">
        <v>229</v>
      </c>
      <c r="B65" s="12">
        <v>9538.0</v>
      </c>
      <c r="C65" s="13" t="s">
        <v>134</v>
      </c>
      <c r="D65" s="13" t="s">
        <v>135</v>
      </c>
      <c r="E65" s="14"/>
      <c r="F65" s="14"/>
      <c r="G65" s="15" t="s">
        <v>225</v>
      </c>
      <c r="H65" s="16" t="s">
        <v>218</v>
      </c>
      <c r="I65" s="14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</row>
    <row r="66" ht="14.25" customHeight="1">
      <c r="A66" s="11" t="s">
        <v>230</v>
      </c>
      <c r="B66" s="12">
        <v>9538.0</v>
      </c>
      <c r="C66" s="13" t="s">
        <v>134</v>
      </c>
      <c r="D66" s="13" t="s">
        <v>135</v>
      </c>
      <c r="E66" s="14"/>
      <c r="F66" s="14"/>
      <c r="G66" s="15" t="s">
        <v>225</v>
      </c>
      <c r="H66" s="16" t="s">
        <v>218</v>
      </c>
      <c r="I66" s="14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</row>
    <row r="67" ht="14.25" customHeight="1">
      <c r="A67" s="11" t="s">
        <v>231</v>
      </c>
      <c r="B67" s="12">
        <v>9630.0</v>
      </c>
      <c r="C67" s="13" t="s">
        <v>134</v>
      </c>
      <c r="D67" s="13" t="s">
        <v>135</v>
      </c>
      <c r="E67" s="14"/>
      <c r="F67" s="14"/>
      <c r="G67" s="15" t="s">
        <v>232</v>
      </c>
      <c r="H67" s="16" t="s">
        <v>218</v>
      </c>
      <c r="I67" s="14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</row>
    <row r="68" ht="14.25" customHeight="1">
      <c r="A68" s="11" t="s">
        <v>233</v>
      </c>
      <c r="B68" s="12">
        <v>9630.0</v>
      </c>
      <c r="C68" s="13" t="s">
        <v>134</v>
      </c>
      <c r="D68" s="13" t="s">
        <v>135</v>
      </c>
      <c r="E68" s="14"/>
      <c r="F68" s="14"/>
      <c r="G68" s="15" t="s">
        <v>232</v>
      </c>
      <c r="H68" s="16" t="s">
        <v>218</v>
      </c>
      <c r="I68" s="14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</row>
    <row r="69" ht="14.25" customHeight="1">
      <c r="A69" s="11" t="s">
        <v>234</v>
      </c>
      <c r="B69" s="12">
        <v>9630.0</v>
      </c>
      <c r="C69" s="13" t="s">
        <v>134</v>
      </c>
      <c r="D69" s="13" t="s">
        <v>135</v>
      </c>
      <c r="E69" s="14"/>
      <c r="F69" s="14"/>
      <c r="G69" s="15" t="s">
        <v>232</v>
      </c>
      <c r="H69" s="16" t="s">
        <v>218</v>
      </c>
      <c r="I69" s="14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</row>
    <row r="70" ht="14.25" customHeight="1">
      <c r="A70" s="11" t="s">
        <v>235</v>
      </c>
      <c r="B70" s="12">
        <v>9630.0</v>
      </c>
      <c r="C70" s="13" t="s">
        <v>134</v>
      </c>
      <c r="D70" s="13" t="s">
        <v>135</v>
      </c>
      <c r="E70" s="14"/>
      <c r="F70" s="14"/>
      <c r="G70" s="15" t="s">
        <v>232</v>
      </c>
      <c r="H70" s="16" t="s">
        <v>218</v>
      </c>
      <c r="I70" s="14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</row>
    <row r="71" ht="14.25" customHeight="1">
      <c r="A71" s="11" t="s">
        <v>236</v>
      </c>
      <c r="B71" s="12">
        <v>9630.0</v>
      </c>
      <c r="C71" s="13" t="s">
        <v>134</v>
      </c>
      <c r="D71" s="13" t="s">
        <v>135</v>
      </c>
      <c r="E71" s="14"/>
      <c r="F71" s="14"/>
      <c r="G71" s="15" t="s">
        <v>232</v>
      </c>
      <c r="H71" s="16" t="s">
        <v>218</v>
      </c>
      <c r="I71" s="14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</row>
    <row r="72" ht="14.25" customHeight="1">
      <c r="A72" s="11" t="s">
        <v>237</v>
      </c>
      <c r="B72" s="12">
        <v>9630.0</v>
      </c>
      <c r="C72" s="13" t="s">
        <v>134</v>
      </c>
      <c r="D72" s="13" t="s">
        <v>135</v>
      </c>
      <c r="E72" s="14"/>
      <c r="F72" s="14"/>
      <c r="G72" s="15" t="s">
        <v>238</v>
      </c>
      <c r="H72" s="16" t="s">
        <v>218</v>
      </c>
      <c r="I72" s="14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</row>
    <row r="73" ht="14.25" customHeight="1">
      <c r="A73" s="11" t="s">
        <v>239</v>
      </c>
      <c r="B73" s="12">
        <v>9630.0</v>
      </c>
      <c r="C73" s="13" t="s">
        <v>134</v>
      </c>
      <c r="D73" s="13" t="s">
        <v>135</v>
      </c>
      <c r="E73" s="14"/>
      <c r="F73" s="14"/>
      <c r="G73" s="15" t="s">
        <v>238</v>
      </c>
      <c r="H73" s="16" t="s">
        <v>218</v>
      </c>
      <c r="I73" s="14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</row>
    <row r="74" ht="14.25" customHeight="1">
      <c r="A74" s="11" t="s">
        <v>240</v>
      </c>
      <c r="B74" s="12">
        <v>9630.0</v>
      </c>
      <c r="C74" s="13" t="s">
        <v>134</v>
      </c>
      <c r="D74" s="13" t="s">
        <v>135</v>
      </c>
      <c r="E74" s="14"/>
      <c r="F74" s="14"/>
      <c r="G74" s="15" t="s">
        <v>238</v>
      </c>
      <c r="H74" s="16" t="s">
        <v>218</v>
      </c>
      <c r="I74" s="14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</row>
    <row r="75" ht="14.25" customHeight="1">
      <c r="A75" s="11" t="s">
        <v>241</v>
      </c>
      <c r="B75" s="12">
        <v>9630.0</v>
      </c>
      <c r="C75" s="13" t="s">
        <v>134</v>
      </c>
      <c r="D75" s="13" t="s">
        <v>135</v>
      </c>
      <c r="E75" s="14"/>
      <c r="F75" s="14"/>
      <c r="G75" s="15" t="s">
        <v>238</v>
      </c>
      <c r="H75" s="16" t="s">
        <v>218</v>
      </c>
      <c r="I75" s="14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</row>
    <row r="76" ht="14.25" customHeight="1">
      <c r="A76" s="11" t="s">
        <v>242</v>
      </c>
      <c r="B76" s="12">
        <v>9630.0</v>
      </c>
      <c r="C76" s="13" t="s">
        <v>134</v>
      </c>
      <c r="D76" s="13" t="s">
        <v>135</v>
      </c>
      <c r="E76" s="14"/>
      <c r="F76" s="14"/>
      <c r="G76" s="15" t="s">
        <v>238</v>
      </c>
      <c r="H76" s="16" t="s">
        <v>218</v>
      </c>
      <c r="I76" s="14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</row>
    <row r="77" ht="14.25" customHeight="1">
      <c r="A77" s="11" t="s">
        <v>243</v>
      </c>
      <c r="B77" s="13" t="s">
        <v>244</v>
      </c>
      <c r="C77" s="13" t="s">
        <v>134</v>
      </c>
      <c r="D77" s="13" t="s">
        <v>135</v>
      </c>
      <c r="E77" s="14"/>
      <c r="F77" s="14"/>
      <c r="G77" s="15" t="s">
        <v>245</v>
      </c>
      <c r="H77" s="16" t="s">
        <v>246</v>
      </c>
      <c r="I77" s="14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</row>
    <row r="78" ht="14.25" customHeight="1">
      <c r="A78" s="11" t="s">
        <v>247</v>
      </c>
      <c r="B78" s="13" t="s">
        <v>244</v>
      </c>
      <c r="C78" s="13" t="s">
        <v>134</v>
      </c>
      <c r="D78" s="13" t="s">
        <v>135</v>
      </c>
      <c r="E78" s="14"/>
      <c r="F78" s="14"/>
      <c r="G78" s="15" t="s">
        <v>245</v>
      </c>
      <c r="H78" s="16" t="s">
        <v>246</v>
      </c>
      <c r="I78" s="14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</row>
    <row r="79" ht="14.25" customHeight="1">
      <c r="A79" s="11" t="s">
        <v>248</v>
      </c>
      <c r="B79" s="13" t="s">
        <v>244</v>
      </c>
      <c r="C79" s="13" t="s">
        <v>134</v>
      </c>
      <c r="D79" s="13" t="s">
        <v>135</v>
      </c>
      <c r="E79" s="14"/>
      <c r="F79" s="14"/>
      <c r="G79" s="15" t="s">
        <v>245</v>
      </c>
      <c r="H79" s="16" t="s">
        <v>246</v>
      </c>
      <c r="I79" s="14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</row>
    <row r="80" ht="14.25" customHeight="1">
      <c r="A80" s="11" t="s">
        <v>249</v>
      </c>
      <c r="B80" s="13" t="s">
        <v>244</v>
      </c>
      <c r="C80" s="13" t="s">
        <v>134</v>
      </c>
      <c r="D80" s="13" t="s">
        <v>135</v>
      </c>
      <c r="E80" s="14"/>
      <c r="F80" s="14"/>
      <c r="G80" s="15" t="s">
        <v>245</v>
      </c>
      <c r="H80" s="16" t="s">
        <v>246</v>
      </c>
      <c r="I80" s="14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</row>
    <row r="81" ht="14.25" customHeight="1">
      <c r="A81" s="11" t="s">
        <v>250</v>
      </c>
      <c r="B81" s="13" t="s">
        <v>244</v>
      </c>
      <c r="C81" s="13" t="s">
        <v>134</v>
      </c>
      <c r="D81" s="13" t="s">
        <v>135</v>
      </c>
      <c r="E81" s="14"/>
      <c r="F81" s="14"/>
      <c r="G81" s="15" t="s">
        <v>245</v>
      </c>
      <c r="H81" s="16" t="s">
        <v>246</v>
      </c>
      <c r="I81" s="1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</row>
    <row r="82" ht="14.25" customHeight="1">
      <c r="A82" s="11" t="s">
        <v>251</v>
      </c>
      <c r="B82" s="13" t="s">
        <v>244</v>
      </c>
      <c r="C82" s="13" t="s">
        <v>134</v>
      </c>
      <c r="D82" s="13" t="s">
        <v>135</v>
      </c>
      <c r="E82" s="14"/>
      <c r="F82" s="14"/>
      <c r="G82" s="15" t="s">
        <v>245</v>
      </c>
      <c r="H82" s="16" t="s">
        <v>246</v>
      </c>
      <c r="I82" s="14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</row>
    <row r="83" ht="14.25" customHeight="1">
      <c r="A83" s="11" t="s">
        <v>252</v>
      </c>
      <c r="B83" s="13" t="s">
        <v>244</v>
      </c>
      <c r="C83" s="13" t="s">
        <v>134</v>
      </c>
      <c r="D83" s="13" t="s">
        <v>135</v>
      </c>
      <c r="E83" s="14"/>
      <c r="F83" s="14"/>
      <c r="G83" s="15" t="s">
        <v>245</v>
      </c>
      <c r="H83" s="16" t="s">
        <v>246</v>
      </c>
      <c r="I83" s="1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</row>
    <row r="84" ht="14.25" customHeight="1">
      <c r="A84" s="11" t="s">
        <v>253</v>
      </c>
      <c r="B84" s="13" t="s">
        <v>244</v>
      </c>
      <c r="C84" s="13" t="s">
        <v>134</v>
      </c>
      <c r="D84" s="13" t="s">
        <v>135</v>
      </c>
      <c r="E84" s="14"/>
      <c r="F84" s="14"/>
      <c r="G84" s="15" t="s">
        <v>245</v>
      </c>
      <c r="H84" s="16" t="s">
        <v>246</v>
      </c>
      <c r="I84" s="1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</row>
    <row r="85" ht="14.25" customHeight="1">
      <c r="A85" s="11" t="s">
        <v>254</v>
      </c>
      <c r="B85" s="13" t="s">
        <v>244</v>
      </c>
      <c r="C85" s="13" t="s">
        <v>134</v>
      </c>
      <c r="D85" s="13" t="s">
        <v>135</v>
      </c>
      <c r="E85" s="14"/>
      <c r="F85" s="14"/>
      <c r="G85" s="15" t="s">
        <v>245</v>
      </c>
      <c r="H85" s="16" t="s">
        <v>246</v>
      </c>
      <c r="I85" s="1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</row>
    <row r="86" ht="14.25" customHeight="1">
      <c r="A86" s="11" t="s">
        <v>255</v>
      </c>
      <c r="B86" s="13" t="s">
        <v>244</v>
      </c>
      <c r="C86" s="13" t="s">
        <v>134</v>
      </c>
      <c r="D86" s="13" t="s">
        <v>135</v>
      </c>
      <c r="E86" s="14"/>
      <c r="F86" s="14"/>
      <c r="G86" s="15" t="s">
        <v>245</v>
      </c>
      <c r="H86" s="16" t="s">
        <v>246</v>
      </c>
      <c r="I86" s="1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</row>
    <row r="87" ht="14.25" customHeight="1">
      <c r="A87" s="11" t="s">
        <v>256</v>
      </c>
      <c r="B87" s="12">
        <v>1285.0</v>
      </c>
      <c r="C87" s="13" t="s">
        <v>134</v>
      </c>
      <c r="D87" s="13" t="s">
        <v>135</v>
      </c>
      <c r="E87" s="14"/>
      <c r="F87" s="14"/>
      <c r="G87" s="15" t="s">
        <v>257</v>
      </c>
      <c r="H87" s="16" t="s">
        <v>212</v>
      </c>
      <c r="I87" s="9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</row>
    <row r="88" ht="14.25" customHeight="1">
      <c r="A88" s="11" t="s">
        <v>258</v>
      </c>
      <c r="B88" s="12">
        <v>1285.0</v>
      </c>
      <c r="C88" s="13" t="s">
        <v>134</v>
      </c>
      <c r="D88" s="13" t="s">
        <v>135</v>
      </c>
      <c r="E88" s="14"/>
      <c r="F88" s="14"/>
      <c r="G88" s="15" t="s">
        <v>257</v>
      </c>
      <c r="H88" s="16" t="s">
        <v>212</v>
      </c>
      <c r="I88" s="9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</row>
    <row r="89" ht="14.25" customHeight="1">
      <c r="A89" s="11" t="s">
        <v>259</v>
      </c>
      <c r="B89" s="12">
        <v>1285.0</v>
      </c>
      <c r="C89" s="13" t="s">
        <v>134</v>
      </c>
      <c r="D89" s="13" t="s">
        <v>135</v>
      </c>
      <c r="E89" s="14"/>
      <c r="F89" s="14"/>
      <c r="G89" s="15" t="s">
        <v>257</v>
      </c>
      <c r="H89" s="16" t="s">
        <v>212</v>
      </c>
      <c r="I89" s="9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</row>
    <row r="90" ht="14.25" customHeight="1">
      <c r="A90" s="11" t="s">
        <v>260</v>
      </c>
      <c r="B90" s="12">
        <v>1285.0</v>
      </c>
      <c r="C90" s="13" t="s">
        <v>134</v>
      </c>
      <c r="D90" s="13" t="s">
        <v>135</v>
      </c>
      <c r="E90" s="14"/>
      <c r="F90" s="14"/>
      <c r="G90" s="15" t="s">
        <v>257</v>
      </c>
      <c r="H90" s="16" t="s">
        <v>212</v>
      </c>
      <c r="I90" s="9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</row>
    <row r="91" ht="14.25" customHeight="1">
      <c r="A91" s="11" t="s">
        <v>261</v>
      </c>
      <c r="B91" s="13" t="s">
        <v>262</v>
      </c>
      <c r="C91" s="13" t="s">
        <v>134</v>
      </c>
      <c r="D91" s="13" t="s">
        <v>135</v>
      </c>
      <c r="E91" s="14"/>
      <c r="F91" s="14"/>
      <c r="G91" s="15" t="s">
        <v>263</v>
      </c>
      <c r="H91" s="16" t="s">
        <v>264</v>
      </c>
      <c r="I91" s="14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</row>
    <row r="92" ht="14.25" customHeight="1">
      <c r="A92" s="11" t="s">
        <v>265</v>
      </c>
      <c r="B92" s="13" t="s">
        <v>262</v>
      </c>
      <c r="C92" s="13" t="s">
        <v>134</v>
      </c>
      <c r="D92" s="13" t="s">
        <v>135</v>
      </c>
      <c r="E92" s="14"/>
      <c r="F92" s="14"/>
      <c r="G92" s="15" t="s">
        <v>263</v>
      </c>
      <c r="H92" s="16" t="s">
        <v>264</v>
      </c>
      <c r="I92" s="14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</row>
    <row r="93" ht="14.25" customHeight="1">
      <c r="A93" s="11" t="s">
        <v>266</v>
      </c>
      <c r="B93" s="13" t="s">
        <v>262</v>
      </c>
      <c r="C93" s="13" t="s">
        <v>134</v>
      </c>
      <c r="D93" s="13" t="s">
        <v>135</v>
      </c>
      <c r="E93" s="14"/>
      <c r="F93" s="14"/>
      <c r="G93" s="15" t="s">
        <v>263</v>
      </c>
      <c r="H93" s="16" t="s">
        <v>264</v>
      </c>
      <c r="I93" s="14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</row>
    <row r="94" ht="14.25" customHeight="1">
      <c r="A94" s="11" t="s">
        <v>267</v>
      </c>
      <c r="B94" s="13" t="s">
        <v>262</v>
      </c>
      <c r="C94" s="13" t="s">
        <v>134</v>
      </c>
      <c r="D94" s="13" t="s">
        <v>135</v>
      </c>
      <c r="E94" s="14"/>
      <c r="F94" s="14"/>
      <c r="G94" s="15" t="s">
        <v>263</v>
      </c>
      <c r="H94" s="16" t="s">
        <v>264</v>
      </c>
      <c r="I94" s="14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</row>
    <row r="95" ht="14.25" customHeight="1">
      <c r="A95" s="11" t="s">
        <v>268</v>
      </c>
      <c r="B95" s="13" t="s">
        <v>262</v>
      </c>
      <c r="C95" s="13" t="s">
        <v>134</v>
      </c>
      <c r="D95" s="13" t="s">
        <v>135</v>
      </c>
      <c r="E95" s="14"/>
      <c r="F95" s="14"/>
      <c r="G95" s="15" t="s">
        <v>263</v>
      </c>
      <c r="H95" s="16" t="s">
        <v>264</v>
      </c>
      <c r="I95" s="14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</row>
    <row r="96" ht="14.25" customHeight="1">
      <c r="A96" s="11" t="s">
        <v>269</v>
      </c>
      <c r="B96" s="13" t="s">
        <v>262</v>
      </c>
      <c r="C96" s="13" t="s">
        <v>134</v>
      </c>
      <c r="D96" s="13" t="s">
        <v>135</v>
      </c>
      <c r="E96" s="14"/>
      <c r="F96" s="14"/>
      <c r="G96" s="15" t="s">
        <v>270</v>
      </c>
      <c r="H96" s="16" t="s">
        <v>264</v>
      </c>
      <c r="I96" s="14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</row>
    <row r="97" ht="14.25" customHeight="1">
      <c r="A97" s="11" t="s">
        <v>271</v>
      </c>
      <c r="B97" s="13" t="s">
        <v>262</v>
      </c>
      <c r="C97" s="13" t="s">
        <v>134</v>
      </c>
      <c r="D97" s="13" t="s">
        <v>135</v>
      </c>
      <c r="E97" s="14"/>
      <c r="F97" s="14"/>
      <c r="G97" s="15" t="s">
        <v>270</v>
      </c>
      <c r="H97" s="16" t="s">
        <v>264</v>
      </c>
      <c r="I97" s="1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</row>
    <row r="98" ht="14.25" customHeight="1">
      <c r="A98" s="11" t="s">
        <v>272</v>
      </c>
      <c r="B98" s="13" t="s">
        <v>262</v>
      </c>
      <c r="C98" s="13" t="s">
        <v>134</v>
      </c>
      <c r="D98" s="13" t="s">
        <v>135</v>
      </c>
      <c r="E98" s="14"/>
      <c r="F98" s="14"/>
      <c r="G98" s="15" t="s">
        <v>270</v>
      </c>
      <c r="H98" s="16" t="s">
        <v>264</v>
      </c>
      <c r="I98" s="1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</row>
    <row r="99" ht="14.25" customHeight="1">
      <c r="A99" s="11" t="s">
        <v>273</v>
      </c>
      <c r="B99" s="13" t="s">
        <v>262</v>
      </c>
      <c r="C99" s="13" t="s">
        <v>134</v>
      </c>
      <c r="D99" s="13" t="s">
        <v>135</v>
      </c>
      <c r="E99" s="14"/>
      <c r="F99" s="14"/>
      <c r="G99" s="15" t="s">
        <v>270</v>
      </c>
      <c r="H99" s="16" t="s">
        <v>264</v>
      </c>
      <c r="I99" s="14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</row>
    <row r="100" ht="14.25" customHeight="1">
      <c r="A100" s="11" t="s">
        <v>274</v>
      </c>
      <c r="B100" s="13" t="s">
        <v>262</v>
      </c>
      <c r="C100" s="13" t="s">
        <v>134</v>
      </c>
      <c r="D100" s="13" t="s">
        <v>135</v>
      </c>
      <c r="E100" s="14"/>
      <c r="F100" s="14"/>
      <c r="G100" s="15" t="s">
        <v>270</v>
      </c>
      <c r="H100" s="16" t="s">
        <v>264</v>
      </c>
      <c r="I100" s="1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</row>
    <row r="101" ht="14.25" customHeight="1">
      <c r="A101" s="11" t="s">
        <v>275</v>
      </c>
      <c r="B101" s="13" t="s">
        <v>262</v>
      </c>
      <c r="C101" s="13" t="s">
        <v>134</v>
      </c>
      <c r="D101" s="13" t="s">
        <v>135</v>
      </c>
      <c r="E101" s="14"/>
      <c r="F101" s="14"/>
      <c r="G101" s="15" t="s">
        <v>276</v>
      </c>
      <c r="H101" s="16" t="s">
        <v>264</v>
      </c>
      <c r="I101" s="14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</row>
    <row r="102" ht="14.25" customHeight="1">
      <c r="A102" s="11" t="s">
        <v>277</v>
      </c>
      <c r="B102" s="13" t="s">
        <v>262</v>
      </c>
      <c r="C102" s="13" t="s">
        <v>134</v>
      </c>
      <c r="D102" s="13" t="s">
        <v>135</v>
      </c>
      <c r="E102" s="14"/>
      <c r="F102" s="14"/>
      <c r="G102" s="15" t="s">
        <v>276</v>
      </c>
      <c r="H102" s="16" t="s">
        <v>264</v>
      </c>
      <c r="I102" s="1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</row>
    <row r="103" ht="14.25" customHeight="1">
      <c r="A103" s="11" t="s">
        <v>278</v>
      </c>
      <c r="B103" s="13" t="s">
        <v>262</v>
      </c>
      <c r="C103" s="13" t="s">
        <v>134</v>
      </c>
      <c r="D103" s="13" t="s">
        <v>135</v>
      </c>
      <c r="E103" s="14"/>
      <c r="F103" s="14"/>
      <c r="G103" s="15" t="s">
        <v>276</v>
      </c>
      <c r="H103" s="16" t="s">
        <v>264</v>
      </c>
      <c r="I103" s="1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</row>
    <row r="104" ht="14.25" customHeight="1">
      <c r="A104" s="11" t="s">
        <v>279</v>
      </c>
      <c r="B104" s="13" t="s">
        <v>262</v>
      </c>
      <c r="C104" s="13" t="s">
        <v>134</v>
      </c>
      <c r="D104" s="13" t="s">
        <v>135</v>
      </c>
      <c r="E104" s="14"/>
      <c r="F104" s="14"/>
      <c r="G104" s="15" t="s">
        <v>276</v>
      </c>
      <c r="H104" s="16" t="s">
        <v>264</v>
      </c>
      <c r="I104" s="1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</row>
    <row r="105" ht="14.25" customHeight="1">
      <c r="A105" s="11" t="s">
        <v>280</v>
      </c>
      <c r="B105" s="13" t="s">
        <v>262</v>
      </c>
      <c r="C105" s="13" t="s">
        <v>134</v>
      </c>
      <c r="D105" s="13" t="s">
        <v>135</v>
      </c>
      <c r="E105" s="14"/>
      <c r="F105" s="14"/>
      <c r="G105" s="15" t="s">
        <v>276</v>
      </c>
      <c r="H105" s="16" t="s">
        <v>264</v>
      </c>
      <c r="I105" s="1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</row>
    <row r="106" ht="14.25" customHeight="1">
      <c r="A106" s="11" t="s">
        <v>281</v>
      </c>
      <c r="B106" s="12">
        <v>1834.0</v>
      </c>
      <c r="C106" s="13" t="s">
        <v>134</v>
      </c>
      <c r="D106" s="13" t="s">
        <v>135</v>
      </c>
      <c r="E106" s="14"/>
      <c r="F106" s="14"/>
      <c r="G106" s="15" t="s">
        <v>282</v>
      </c>
      <c r="H106" s="16" t="s">
        <v>283</v>
      </c>
      <c r="I106" s="1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</row>
    <row r="107" ht="14.25" customHeight="1">
      <c r="A107" s="11" t="s">
        <v>284</v>
      </c>
      <c r="B107" s="12">
        <v>1834.0</v>
      </c>
      <c r="C107" s="13" t="s">
        <v>134</v>
      </c>
      <c r="D107" s="13" t="s">
        <v>135</v>
      </c>
      <c r="E107" s="14"/>
      <c r="F107" s="14"/>
      <c r="G107" s="15" t="s">
        <v>282</v>
      </c>
      <c r="H107" s="16" t="s">
        <v>283</v>
      </c>
      <c r="I107" s="14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</row>
    <row r="108" ht="14.25" customHeight="1">
      <c r="A108" s="11" t="s">
        <v>285</v>
      </c>
      <c r="B108" s="12">
        <v>1834.0</v>
      </c>
      <c r="C108" s="13" t="s">
        <v>134</v>
      </c>
      <c r="D108" s="13" t="s">
        <v>135</v>
      </c>
      <c r="E108" s="14"/>
      <c r="F108" s="14"/>
      <c r="G108" s="15" t="s">
        <v>282</v>
      </c>
      <c r="H108" s="16" t="s">
        <v>283</v>
      </c>
      <c r="I108" s="14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</row>
    <row r="109" ht="14.25" customHeight="1">
      <c r="A109" s="11" t="s">
        <v>286</v>
      </c>
      <c r="B109" s="12">
        <v>1834.0</v>
      </c>
      <c r="C109" s="13" t="s">
        <v>134</v>
      </c>
      <c r="D109" s="13" t="s">
        <v>135</v>
      </c>
      <c r="E109" s="14"/>
      <c r="F109" s="14"/>
      <c r="G109" s="15" t="s">
        <v>282</v>
      </c>
      <c r="H109" s="16" t="s">
        <v>283</v>
      </c>
      <c r="I109" s="14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</row>
    <row r="110" ht="14.25" customHeight="1">
      <c r="A110" s="11" t="s">
        <v>287</v>
      </c>
      <c r="B110" s="12">
        <v>1834.0</v>
      </c>
      <c r="C110" s="13" t="s">
        <v>134</v>
      </c>
      <c r="D110" s="13" t="s">
        <v>135</v>
      </c>
      <c r="E110" s="14"/>
      <c r="F110" s="14"/>
      <c r="G110" s="15" t="s">
        <v>288</v>
      </c>
      <c r="H110" s="16" t="s">
        <v>283</v>
      </c>
      <c r="I110" s="14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</row>
    <row r="111" ht="14.25" customHeight="1">
      <c r="A111" s="11" t="s">
        <v>289</v>
      </c>
      <c r="B111" s="12">
        <v>1834.0</v>
      </c>
      <c r="C111" s="13" t="s">
        <v>134</v>
      </c>
      <c r="D111" s="13" t="s">
        <v>135</v>
      </c>
      <c r="E111" s="14"/>
      <c r="F111" s="14"/>
      <c r="G111" s="15" t="s">
        <v>288</v>
      </c>
      <c r="H111" s="16" t="s">
        <v>283</v>
      </c>
      <c r="I111" s="14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</row>
    <row r="112" ht="14.25" customHeight="1">
      <c r="A112" s="11" t="s">
        <v>290</v>
      </c>
      <c r="B112" s="12">
        <v>1834.0</v>
      </c>
      <c r="C112" s="13" t="s">
        <v>134</v>
      </c>
      <c r="D112" s="13" t="s">
        <v>135</v>
      </c>
      <c r="E112" s="14"/>
      <c r="F112" s="14"/>
      <c r="G112" s="15" t="s">
        <v>288</v>
      </c>
      <c r="H112" s="16" t="s">
        <v>283</v>
      </c>
      <c r="I112" s="14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</row>
    <row r="113" ht="14.25" customHeight="1">
      <c r="A113" s="11" t="s">
        <v>291</v>
      </c>
      <c r="B113" s="12">
        <v>1834.0</v>
      </c>
      <c r="C113" s="13" t="s">
        <v>134</v>
      </c>
      <c r="D113" s="13" t="s">
        <v>135</v>
      </c>
      <c r="E113" s="14"/>
      <c r="F113" s="14"/>
      <c r="G113" s="15" t="s">
        <v>288</v>
      </c>
      <c r="H113" s="16" t="s">
        <v>283</v>
      </c>
      <c r="I113" s="14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</row>
    <row r="114" ht="14.25" customHeight="1">
      <c r="A114" s="11" t="s">
        <v>292</v>
      </c>
      <c r="B114" s="12">
        <v>1653.0</v>
      </c>
      <c r="C114" s="13" t="s">
        <v>134</v>
      </c>
      <c r="D114" s="13" t="s">
        <v>135</v>
      </c>
      <c r="E114" s="14"/>
      <c r="F114" s="14"/>
      <c r="G114" s="15" t="s">
        <v>293</v>
      </c>
      <c r="H114" s="16" t="s">
        <v>294</v>
      </c>
      <c r="I114" s="14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</row>
    <row r="115" ht="14.25" customHeight="1">
      <c r="A115" s="11" t="s">
        <v>295</v>
      </c>
      <c r="B115" s="12">
        <v>1799.0</v>
      </c>
      <c r="C115" s="13" t="s">
        <v>134</v>
      </c>
      <c r="D115" s="13" t="s">
        <v>135</v>
      </c>
      <c r="E115" s="14"/>
      <c r="F115" s="14"/>
      <c r="G115" s="15" t="s">
        <v>296</v>
      </c>
      <c r="H115" s="16" t="s">
        <v>283</v>
      </c>
      <c r="I115" s="14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</row>
    <row r="116" ht="14.25" customHeight="1">
      <c r="A116" s="11" t="s">
        <v>297</v>
      </c>
      <c r="B116" s="12">
        <v>1799.0</v>
      </c>
      <c r="C116" s="13" t="s">
        <v>134</v>
      </c>
      <c r="D116" s="13" t="s">
        <v>135</v>
      </c>
      <c r="E116" s="14"/>
      <c r="F116" s="14"/>
      <c r="G116" s="15" t="s">
        <v>296</v>
      </c>
      <c r="H116" s="16" t="s">
        <v>283</v>
      </c>
      <c r="I116" s="14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</row>
    <row r="117" ht="14.25" customHeight="1">
      <c r="A117" s="11" t="s">
        <v>298</v>
      </c>
      <c r="B117" s="12">
        <v>1799.0</v>
      </c>
      <c r="C117" s="13" t="s">
        <v>134</v>
      </c>
      <c r="D117" s="13" t="s">
        <v>135</v>
      </c>
      <c r="E117" s="14"/>
      <c r="F117" s="14"/>
      <c r="G117" s="15" t="s">
        <v>296</v>
      </c>
      <c r="H117" s="16" t="s">
        <v>283</v>
      </c>
      <c r="I117" s="1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</row>
    <row r="118" ht="14.25" customHeight="1">
      <c r="A118" s="11" t="s">
        <v>299</v>
      </c>
      <c r="B118" s="12">
        <v>1799.0</v>
      </c>
      <c r="C118" s="13" t="s">
        <v>134</v>
      </c>
      <c r="D118" s="13" t="s">
        <v>135</v>
      </c>
      <c r="E118" s="14"/>
      <c r="F118" s="14"/>
      <c r="G118" s="15" t="s">
        <v>300</v>
      </c>
      <c r="H118" s="16" t="s">
        <v>283</v>
      </c>
      <c r="I118" s="14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</row>
    <row r="119" ht="14.25" customHeight="1">
      <c r="A119" s="11" t="s">
        <v>301</v>
      </c>
      <c r="B119" s="12">
        <v>1799.0</v>
      </c>
      <c r="C119" s="13" t="s">
        <v>134</v>
      </c>
      <c r="D119" s="13" t="s">
        <v>135</v>
      </c>
      <c r="E119" s="14"/>
      <c r="F119" s="14"/>
      <c r="G119" s="15" t="s">
        <v>300</v>
      </c>
      <c r="H119" s="16" t="s">
        <v>283</v>
      </c>
      <c r="I119" s="1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</row>
    <row r="120" ht="14.25" customHeight="1">
      <c r="A120" s="11" t="s">
        <v>302</v>
      </c>
      <c r="B120" s="12">
        <v>1799.0</v>
      </c>
      <c r="C120" s="13" t="s">
        <v>134</v>
      </c>
      <c r="D120" s="13" t="s">
        <v>135</v>
      </c>
      <c r="E120" s="14"/>
      <c r="F120" s="14"/>
      <c r="G120" s="15" t="s">
        <v>300</v>
      </c>
      <c r="H120" s="16" t="s">
        <v>283</v>
      </c>
      <c r="I120" s="1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</row>
    <row r="121" ht="14.25" customHeight="1">
      <c r="A121" s="11" t="s">
        <v>303</v>
      </c>
      <c r="B121" s="12">
        <v>1799.0</v>
      </c>
      <c r="C121" s="13" t="s">
        <v>134</v>
      </c>
      <c r="D121" s="13" t="s">
        <v>135</v>
      </c>
      <c r="E121" s="14"/>
      <c r="F121" s="14"/>
      <c r="G121" s="15" t="s">
        <v>300</v>
      </c>
      <c r="H121" s="16" t="s">
        <v>283</v>
      </c>
      <c r="I121" s="14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</row>
    <row r="122" ht="14.25" customHeight="1">
      <c r="A122" s="11" t="s">
        <v>304</v>
      </c>
      <c r="B122" s="12">
        <v>1143.0</v>
      </c>
      <c r="C122" s="13" t="s">
        <v>134</v>
      </c>
      <c r="D122" s="13" t="s">
        <v>135</v>
      </c>
      <c r="E122" s="14"/>
      <c r="F122" s="14"/>
      <c r="G122" s="15" t="s">
        <v>305</v>
      </c>
      <c r="H122" s="16" t="s">
        <v>306</v>
      </c>
      <c r="I122" s="14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</row>
    <row r="123" ht="14.25" customHeight="1">
      <c r="A123" s="11" t="s">
        <v>307</v>
      </c>
      <c r="B123" s="12">
        <v>1477.0</v>
      </c>
      <c r="C123" s="13" t="s">
        <v>134</v>
      </c>
      <c r="D123" s="13" t="s">
        <v>135</v>
      </c>
      <c r="E123" s="14"/>
      <c r="F123" s="14"/>
      <c r="G123" s="15" t="s">
        <v>308</v>
      </c>
      <c r="H123" s="16" t="s">
        <v>306</v>
      </c>
      <c r="I123" s="14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</row>
    <row r="124" ht="14.25" customHeight="1">
      <c r="A124" s="11" t="s">
        <v>309</v>
      </c>
      <c r="B124" s="12">
        <v>1143.0</v>
      </c>
      <c r="C124" s="13" t="s">
        <v>134</v>
      </c>
      <c r="D124" s="13" t="s">
        <v>135</v>
      </c>
      <c r="E124" s="14"/>
      <c r="F124" s="14"/>
      <c r="G124" s="15" t="s">
        <v>310</v>
      </c>
      <c r="H124" s="16" t="s">
        <v>306</v>
      </c>
      <c r="I124" s="14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</row>
    <row r="125" ht="14.25" customHeight="1">
      <c r="A125" s="11" t="s">
        <v>311</v>
      </c>
      <c r="B125" s="13" t="s">
        <v>312</v>
      </c>
      <c r="C125" s="13" t="s">
        <v>134</v>
      </c>
      <c r="D125" s="13" t="s">
        <v>135</v>
      </c>
      <c r="E125" s="14"/>
      <c r="F125" s="14"/>
      <c r="G125" s="15" t="s">
        <v>313</v>
      </c>
      <c r="H125" s="16" t="s">
        <v>314</v>
      </c>
      <c r="I125" s="14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</row>
    <row r="126" ht="14.25" customHeight="1">
      <c r="A126" s="11" t="s">
        <v>315</v>
      </c>
      <c r="B126" s="13" t="s">
        <v>312</v>
      </c>
      <c r="C126" s="13" t="s">
        <v>134</v>
      </c>
      <c r="D126" s="13" t="s">
        <v>135</v>
      </c>
      <c r="E126" s="14"/>
      <c r="F126" s="14"/>
      <c r="G126" s="15" t="s">
        <v>316</v>
      </c>
      <c r="H126" s="16" t="s">
        <v>314</v>
      </c>
      <c r="I126" s="14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</row>
    <row r="127" ht="14.25" customHeight="1">
      <c r="A127" s="11" t="s">
        <v>317</v>
      </c>
      <c r="B127" s="13" t="s">
        <v>312</v>
      </c>
      <c r="C127" s="13" t="s">
        <v>134</v>
      </c>
      <c r="D127" s="13" t="s">
        <v>135</v>
      </c>
      <c r="E127" s="14"/>
      <c r="F127" s="14"/>
      <c r="G127" s="15" t="s">
        <v>318</v>
      </c>
      <c r="H127" s="16" t="s">
        <v>314</v>
      </c>
      <c r="I127" s="14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</row>
    <row r="128" ht="14.25" customHeight="1">
      <c r="A128" s="11" t="s">
        <v>319</v>
      </c>
      <c r="B128" s="12">
        <v>9622.0</v>
      </c>
      <c r="C128" s="13" t="s">
        <v>134</v>
      </c>
      <c r="D128" s="13" t="s">
        <v>135</v>
      </c>
      <c r="E128" s="14"/>
      <c r="F128" s="14"/>
      <c r="G128" s="15" t="s">
        <v>320</v>
      </c>
      <c r="H128" s="16" t="s">
        <v>321</v>
      </c>
      <c r="I128" s="14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</row>
    <row r="129" ht="14.25" customHeight="1">
      <c r="A129" s="11" t="s">
        <v>322</v>
      </c>
      <c r="B129" s="12">
        <v>9622.0</v>
      </c>
      <c r="C129" s="13" t="s">
        <v>134</v>
      </c>
      <c r="D129" s="13" t="s">
        <v>135</v>
      </c>
      <c r="E129" s="14"/>
      <c r="F129" s="14"/>
      <c r="G129" s="15" t="s">
        <v>320</v>
      </c>
      <c r="H129" s="16" t="s">
        <v>321</v>
      </c>
      <c r="I129" s="14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</row>
    <row r="130" ht="14.25" customHeight="1">
      <c r="A130" s="11" t="s">
        <v>323</v>
      </c>
      <c r="B130" s="12">
        <v>9622.0</v>
      </c>
      <c r="C130" s="13" t="s">
        <v>134</v>
      </c>
      <c r="D130" s="13" t="s">
        <v>135</v>
      </c>
      <c r="E130" s="14"/>
      <c r="F130" s="14"/>
      <c r="G130" s="15" t="s">
        <v>320</v>
      </c>
      <c r="H130" s="16" t="s">
        <v>321</v>
      </c>
      <c r="I130" s="14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</row>
    <row r="131" ht="14.25" customHeight="1">
      <c r="A131" s="11" t="s">
        <v>324</v>
      </c>
      <c r="B131" s="12">
        <v>9622.0</v>
      </c>
      <c r="C131" s="13" t="s">
        <v>134</v>
      </c>
      <c r="D131" s="13" t="s">
        <v>135</v>
      </c>
      <c r="E131" s="14"/>
      <c r="F131" s="14"/>
      <c r="G131" s="15" t="s">
        <v>325</v>
      </c>
      <c r="H131" s="16" t="s">
        <v>321</v>
      </c>
      <c r="I131" s="14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</row>
    <row r="132" ht="14.25" customHeight="1">
      <c r="A132" s="11" t="s">
        <v>326</v>
      </c>
      <c r="B132" s="12">
        <v>9622.0</v>
      </c>
      <c r="C132" s="13" t="s">
        <v>134</v>
      </c>
      <c r="D132" s="13" t="s">
        <v>135</v>
      </c>
      <c r="E132" s="14"/>
      <c r="F132" s="14"/>
      <c r="G132" s="15" t="s">
        <v>325</v>
      </c>
      <c r="H132" s="16" t="s">
        <v>321</v>
      </c>
      <c r="I132" s="14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</row>
    <row r="133" ht="14.25" customHeight="1">
      <c r="A133" s="11" t="s">
        <v>327</v>
      </c>
      <c r="B133" s="12">
        <v>9622.0</v>
      </c>
      <c r="C133" s="13" t="s">
        <v>134</v>
      </c>
      <c r="D133" s="13" t="s">
        <v>135</v>
      </c>
      <c r="E133" s="14"/>
      <c r="F133" s="14"/>
      <c r="G133" s="15" t="s">
        <v>328</v>
      </c>
      <c r="H133" s="16" t="s">
        <v>321</v>
      </c>
      <c r="I133" s="14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</row>
    <row r="134" ht="14.25" customHeight="1">
      <c r="A134" s="11" t="s">
        <v>329</v>
      </c>
      <c r="B134" s="12">
        <v>9622.0</v>
      </c>
      <c r="C134" s="13" t="s">
        <v>134</v>
      </c>
      <c r="D134" s="13" t="s">
        <v>135</v>
      </c>
      <c r="E134" s="14"/>
      <c r="F134" s="14"/>
      <c r="G134" s="15" t="s">
        <v>328</v>
      </c>
      <c r="H134" s="16" t="s">
        <v>321</v>
      </c>
      <c r="I134" s="14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</row>
    <row r="135" ht="14.25" customHeight="1">
      <c r="A135" s="11" t="s">
        <v>330</v>
      </c>
      <c r="B135" s="12">
        <v>9622.0</v>
      </c>
      <c r="C135" s="13" t="s">
        <v>134</v>
      </c>
      <c r="D135" s="13" t="s">
        <v>135</v>
      </c>
      <c r="E135" s="14"/>
      <c r="F135" s="14"/>
      <c r="G135" s="15" t="s">
        <v>328</v>
      </c>
      <c r="H135" s="16" t="s">
        <v>321</v>
      </c>
      <c r="I135" s="14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</row>
    <row r="136" ht="14.25" customHeight="1">
      <c r="A136" s="11" t="s">
        <v>331</v>
      </c>
      <c r="B136" s="12">
        <v>1477.0</v>
      </c>
      <c r="C136" s="13" t="s">
        <v>134</v>
      </c>
      <c r="D136" s="13" t="s">
        <v>135</v>
      </c>
      <c r="E136" s="14"/>
      <c r="F136" s="14"/>
      <c r="G136" s="15" t="s">
        <v>332</v>
      </c>
      <c r="H136" s="16" t="s">
        <v>306</v>
      </c>
      <c r="I136" s="14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</row>
    <row r="137" ht="14.25" customHeight="1">
      <c r="A137" s="11" t="s">
        <v>333</v>
      </c>
      <c r="B137" s="12">
        <v>9638.0</v>
      </c>
      <c r="C137" s="13" t="s">
        <v>134</v>
      </c>
      <c r="D137" s="13" t="s">
        <v>135</v>
      </c>
      <c r="E137" s="14"/>
      <c r="F137" s="14"/>
      <c r="G137" s="15" t="s">
        <v>334</v>
      </c>
      <c r="H137" s="16" t="s">
        <v>218</v>
      </c>
      <c r="I137" s="14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</row>
    <row r="138" ht="14.25" customHeight="1">
      <c r="A138" s="11" t="s">
        <v>335</v>
      </c>
      <c r="B138" s="12">
        <v>9638.0</v>
      </c>
      <c r="C138" s="13" t="s">
        <v>134</v>
      </c>
      <c r="D138" s="13" t="s">
        <v>135</v>
      </c>
      <c r="E138" s="14"/>
      <c r="F138" s="14"/>
      <c r="G138" s="15" t="s">
        <v>334</v>
      </c>
      <c r="H138" s="16" t="s">
        <v>218</v>
      </c>
      <c r="I138" s="14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</row>
    <row r="139" ht="14.25" customHeight="1">
      <c r="A139" s="11" t="s">
        <v>336</v>
      </c>
      <c r="B139" s="13" t="s">
        <v>337</v>
      </c>
      <c r="C139" s="13" t="s">
        <v>134</v>
      </c>
      <c r="D139" s="13" t="s">
        <v>135</v>
      </c>
      <c r="E139" s="14"/>
      <c r="F139" s="14"/>
      <c r="G139" s="15" t="s">
        <v>338</v>
      </c>
      <c r="H139" s="16" t="s">
        <v>339</v>
      </c>
      <c r="I139" s="14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</row>
    <row r="140" ht="14.25" customHeight="1">
      <c r="A140" s="11" t="s">
        <v>340</v>
      </c>
      <c r="B140" s="12">
        <v>9638.0</v>
      </c>
      <c r="C140" s="13" t="s">
        <v>134</v>
      </c>
      <c r="D140" s="13" t="s">
        <v>135</v>
      </c>
      <c r="E140" s="14"/>
      <c r="F140" s="14"/>
      <c r="G140" s="15" t="s">
        <v>334</v>
      </c>
      <c r="H140" s="16" t="s">
        <v>218</v>
      </c>
      <c r="I140" s="14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</row>
    <row r="141" ht="14.25" customHeight="1">
      <c r="A141" s="11" t="s">
        <v>341</v>
      </c>
      <c r="B141" s="13" t="s">
        <v>337</v>
      </c>
      <c r="C141" s="13" t="s">
        <v>134</v>
      </c>
      <c r="D141" s="13" t="s">
        <v>135</v>
      </c>
      <c r="E141" s="14"/>
      <c r="F141" s="14"/>
      <c r="G141" s="15" t="s">
        <v>338</v>
      </c>
      <c r="H141" s="16" t="s">
        <v>339</v>
      </c>
      <c r="I141" s="14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</row>
    <row r="142" ht="14.25" customHeight="1">
      <c r="A142" s="11" t="s">
        <v>342</v>
      </c>
      <c r="B142" s="12">
        <v>9638.0</v>
      </c>
      <c r="C142" s="13" t="s">
        <v>134</v>
      </c>
      <c r="D142" s="13" t="s">
        <v>135</v>
      </c>
      <c r="E142" s="14"/>
      <c r="F142" s="14"/>
      <c r="G142" s="15" t="s">
        <v>334</v>
      </c>
      <c r="H142" s="16" t="s">
        <v>218</v>
      </c>
      <c r="I142" s="14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</row>
    <row r="143" ht="14.25" customHeight="1">
      <c r="A143" s="11" t="s">
        <v>343</v>
      </c>
      <c r="B143" s="13" t="s">
        <v>337</v>
      </c>
      <c r="C143" s="13" t="s">
        <v>134</v>
      </c>
      <c r="D143" s="13" t="s">
        <v>135</v>
      </c>
      <c r="E143" s="14"/>
      <c r="F143" s="14"/>
      <c r="G143" s="15" t="s">
        <v>338</v>
      </c>
      <c r="H143" s="16" t="s">
        <v>339</v>
      </c>
      <c r="I143" s="14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</row>
    <row r="144" ht="14.25" customHeight="1">
      <c r="A144" s="11" t="s">
        <v>344</v>
      </c>
      <c r="B144" s="12">
        <v>9638.0</v>
      </c>
      <c r="C144" s="13" t="s">
        <v>134</v>
      </c>
      <c r="D144" s="13" t="s">
        <v>135</v>
      </c>
      <c r="E144" s="14"/>
      <c r="F144" s="14"/>
      <c r="G144" s="15" t="s">
        <v>334</v>
      </c>
      <c r="H144" s="16" t="s">
        <v>218</v>
      </c>
      <c r="I144" s="14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</row>
    <row r="145" ht="14.25" customHeight="1">
      <c r="A145" s="11" t="s">
        <v>345</v>
      </c>
      <c r="B145" s="13" t="s">
        <v>337</v>
      </c>
      <c r="C145" s="13" t="s">
        <v>134</v>
      </c>
      <c r="D145" s="13" t="s">
        <v>135</v>
      </c>
      <c r="E145" s="14"/>
      <c r="F145" s="14"/>
      <c r="G145" s="15" t="s">
        <v>338</v>
      </c>
      <c r="H145" s="16" t="s">
        <v>339</v>
      </c>
      <c r="I145" s="14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</row>
    <row r="146" ht="14.25" customHeight="1">
      <c r="A146" s="11" t="s">
        <v>346</v>
      </c>
      <c r="B146" s="13" t="s">
        <v>337</v>
      </c>
      <c r="C146" s="13" t="s">
        <v>134</v>
      </c>
      <c r="D146" s="13" t="s">
        <v>135</v>
      </c>
      <c r="E146" s="14"/>
      <c r="F146" s="14"/>
      <c r="G146" s="15" t="s">
        <v>347</v>
      </c>
      <c r="H146" s="16" t="s">
        <v>339</v>
      </c>
      <c r="I146" s="14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</row>
    <row r="147" ht="14.25" customHeight="1">
      <c r="A147" s="11" t="s">
        <v>348</v>
      </c>
      <c r="B147" s="13" t="s">
        <v>337</v>
      </c>
      <c r="C147" s="13" t="s">
        <v>134</v>
      </c>
      <c r="D147" s="13" t="s">
        <v>135</v>
      </c>
      <c r="E147" s="14"/>
      <c r="F147" s="14"/>
      <c r="G147" s="15" t="s">
        <v>347</v>
      </c>
      <c r="H147" s="16" t="s">
        <v>339</v>
      </c>
      <c r="I147" s="14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</row>
    <row r="148" ht="14.25" customHeight="1">
      <c r="A148" s="11" t="s">
        <v>349</v>
      </c>
      <c r="B148" s="12">
        <v>9638.0</v>
      </c>
      <c r="C148" s="13" t="s">
        <v>134</v>
      </c>
      <c r="D148" s="13" t="s">
        <v>135</v>
      </c>
      <c r="E148" s="14"/>
      <c r="F148" s="14"/>
      <c r="G148" s="15" t="s">
        <v>350</v>
      </c>
      <c r="H148" s="16" t="s">
        <v>218</v>
      </c>
      <c r="I148" s="14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</row>
    <row r="149" ht="14.25" customHeight="1">
      <c r="A149" s="11" t="s">
        <v>351</v>
      </c>
      <c r="B149" s="13" t="s">
        <v>337</v>
      </c>
      <c r="C149" s="13" t="s">
        <v>134</v>
      </c>
      <c r="D149" s="13" t="s">
        <v>135</v>
      </c>
      <c r="E149" s="14"/>
      <c r="F149" s="14"/>
      <c r="G149" s="15" t="s">
        <v>347</v>
      </c>
      <c r="H149" s="16" t="s">
        <v>339</v>
      </c>
      <c r="I149" s="14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</row>
    <row r="150" ht="14.25" customHeight="1">
      <c r="A150" s="11" t="s">
        <v>352</v>
      </c>
      <c r="B150" s="12">
        <v>9638.0</v>
      </c>
      <c r="C150" s="13" t="s">
        <v>134</v>
      </c>
      <c r="D150" s="13" t="s">
        <v>135</v>
      </c>
      <c r="E150" s="14"/>
      <c r="F150" s="14"/>
      <c r="G150" s="15" t="s">
        <v>350</v>
      </c>
      <c r="H150" s="16" t="s">
        <v>218</v>
      </c>
      <c r="I150" s="14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</row>
    <row r="151" ht="14.25" customHeight="1">
      <c r="A151" s="11" t="s">
        <v>353</v>
      </c>
      <c r="B151" s="12">
        <v>9638.0</v>
      </c>
      <c r="C151" s="13" t="s">
        <v>134</v>
      </c>
      <c r="D151" s="13" t="s">
        <v>135</v>
      </c>
      <c r="E151" s="14"/>
      <c r="F151" s="14"/>
      <c r="G151" s="15" t="s">
        <v>350</v>
      </c>
      <c r="H151" s="16" t="s">
        <v>218</v>
      </c>
      <c r="I151" s="14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</row>
    <row r="152" ht="14.25" customHeight="1">
      <c r="A152" s="11" t="s">
        <v>354</v>
      </c>
      <c r="B152" s="12">
        <v>9638.0</v>
      </c>
      <c r="C152" s="13" t="s">
        <v>134</v>
      </c>
      <c r="D152" s="13" t="s">
        <v>135</v>
      </c>
      <c r="E152" s="14"/>
      <c r="F152" s="14"/>
      <c r="G152" s="15" t="s">
        <v>350</v>
      </c>
      <c r="H152" s="16" t="s">
        <v>218</v>
      </c>
      <c r="I152" s="14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</row>
    <row r="153" ht="14.25" customHeight="1">
      <c r="A153" s="11" t="s">
        <v>355</v>
      </c>
      <c r="B153" s="13" t="s">
        <v>337</v>
      </c>
      <c r="C153" s="13" t="s">
        <v>134</v>
      </c>
      <c r="D153" s="13" t="s">
        <v>135</v>
      </c>
      <c r="E153" s="14"/>
      <c r="F153" s="14"/>
      <c r="G153" s="15" t="s">
        <v>347</v>
      </c>
      <c r="H153" s="16" t="s">
        <v>339</v>
      </c>
      <c r="I153" s="14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</row>
    <row r="154" ht="14.25" customHeight="1">
      <c r="A154" s="11" t="s">
        <v>356</v>
      </c>
      <c r="B154" s="12">
        <v>9638.0</v>
      </c>
      <c r="C154" s="13" t="s">
        <v>134</v>
      </c>
      <c r="D154" s="13" t="s">
        <v>135</v>
      </c>
      <c r="E154" s="14"/>
      <c r="F154" s="14"/>
      <c r="G154" s="15" t="s">
        <v>350</v>
      </c>
      <c r="H154" s="16" t="s">
        <v>218</v>
      </c>
      <c r="I154" s="14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</row>
    <row r="155" ht="14.25" customHeight="1">
      <c r="A155" s="11" t="s">
        <v>357</v>
      </c>
      <c r="B155" s="13" t="s">
        <v>358</v>
      </c>
      <c r="C155" s="13" t="s">
        <v>134</v>
      </c>
      <c r="D155" s="13" t="s">
        <v>135</v>
      </c>
      <c r="E155" s="14"/>
      <c r="F155" s="14"/>
      <c r="G155" s="15" t="s">
        <v>359</v>
      </c>
      <c r="H155" s="16" t="s">
        <v>360</v>
      </c>
      <c r="I155" s="14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</row>
    <row r="156" ht="14.25" customHeight="1">
      <c r="A156" s="11" t="s">
        <v>361</v>
      </c>
      <c r="B156" s="13" t="s">
        <v>358</v>
      </c>
      <c r="C156" s="13" t="s">
        <v>134</v>
      </c>
      <c r="D156" s="13" t="s">
        <v>135</v>
      </c>
      <c r="E156" s="14"/>
      <c r="F156" s="14"/>
      <c r="G156" s="15" t="s">
        <v>359</v>
      </c>
      <c r="H156" s="16" t="s">
        <v>360</v>
      </c>
      <c r="I156" s="14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</row>
    <row r="157" ht="14.25" customHeight="1">
      <c r="A157" s="11" t="s">
        <v>362</v>
      </c>
      <c r="B157" s="13" t="s">
        <v>358</v>
      </c>
      <c r="C157" s="13" t="s">
        <v>134</v>
      </c>
      <c r="D157" s="13" t="s">
        <v>135</v>
      </c>
      <c r="E157" s="14"/>
      <c r="F157" s="14"/>
      <c r="G157" s="15" t="s">
        <v>359</v>
      </c>
      <c r="H157" s="16" t="s">
        <v>360</v>
      </c>
      <c r="I157" s="14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</row>
    <row r="158" ht="14.25" customHeight="1">
      <c r="A158" s="11" t="s">
        <v>363</v>
      </c>
      <c r="B158" s="13" t="s">
        <v>358</v>
      </c>
      <c r="C158" s="13" t="s">
        <v>134</v>
      </c>
      <c r="D158" s="13" t="s">
        <v>135</v>
      </c>
      <c r="E158" s="14"/>
      <c r="F158" s="14"/>
      <c r="G158" s="15" t="s">
        <v>359</v>
      </c>
      <c r="H158" s="16" t="s">
        <v>360</v>
      </c>
      <c r="I158" s="14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</row>
    <row r="159" ht="14.25" customHeight="1">
      <c r="A159" s="11" t="s">
        <v>364</v>
      </c>
      <c r="B159" s="13" t="s">
        <v>358</v>
      </c>
      <c r="C159" s="13" t="s">
        <v>134</v>
      </c>
      <c r="D159" s="13" t="s">
        <v>135</v>
      </c>
      <c r="E159" s="14"/>
      <c r="F159" s="14"/>
      <c r="G159" s="15" t="s">
        <v>359</v>
      </c>
      <c r="H159" s="16" t="s">
        <v>360</v>
      </c>
      <c r="I159" s="14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</row>
    <row r="160" ht="14.25" customHeight="1">
      <c r="A160" s="11" t="s">
        <v>365</v>
      </c>
      <c r="B160" s="13" t="s">
        <v>358</v>
      </c>
      <c r="C160" s="13" t="s">
        <v>134</v>
      </c>
      <c r="D160" s="13" t="s">
        <v>135</v>
      </c>
      <c r="E160" s="14"/>
      <c r="F160" s="14"/>
      <c r="G160" s="15" t="s">
        <v>366</v>
      </c>
      <c r="H160" s="16" t="s">
        <v>360</v>
      </c>
      <c r="I160" s="14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</row>
    <row r="161" ht="14.25" customHeight="1">
      <c r="A161" s="11" t="s">
        <v>367</v>
      </c>
      <c r="B161" s="13" t="s">
        <v>358</v>
      </c>
      <c r="C161" s="13" t="s">
        <v>134</v>
      </c>
      <c r="D161" s="13" t="s">
        <v>135</v>
      </c>
      <c r="E161" s="14"/>
      <c r="F161" s="14"/>
      <c r="G161" s="15" t="s">
        <v>366</v>
      </c>
      <c r="H161" s="16" t="s">
        <v>360</v>
      </c>
      <c r="I161" s="14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</row>
    <row r="162" ht="14.25" customHeight="1">
      <c r="A162" s="11" t="s">
        <v>368</v>
      </c>
      <c r="B162" s="13" t="s">
        <v>358</v>
      </c>
      <c r="C162" s="13" t="s">
        <v>134</v>
      </c>
      <c r="D162" s="13" t="s">
        <v>135</v>
      </c>
      <c r="E162" s="14"/>
      <c r="F162" s="14"/>
      <c r="G162" s="15" t="s">
        <v>366</v>
      </c>
      <c r="H162" s="16" t="s">
        <v>360</v>
      </c>
      <c r="I162" s="14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</row>
    <row r="163" ht="14.25" customHeight="1">
      <c r="A163" s="11" t="s">
        <v>369</v>
      </c>
      <c r="B163" s="13" t="s">
        <v>358</v>
      </c>
      <c r="C163" s="13" t="s">
        <v>134</v>
      </c>
      <c r="D163" s="13" t="s">
        <v>135</v>
      </c>
      <c r="E163" s="14"/>
      <c r="F163" s="14"/>
      <c r="G163" s="15" t="s">
        <v>366</v>
      </c>
      <c r="H163" s="16" t="s">
        <v>360</v>
      </c>
      <c r="I163" s="14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</row>
    <row r="164" ht="14.25" customHeight="1">
      <c r="A164" s="11" t="s">
        <v>370</v>
      </c>
      <c r="B164" s="13" t="s">
        <v>358</v>
      </c>
      <c r="C164" s="13" t="s">
        <v>134</v>
      </c>
      <c r="D164" s="13" t="s">
        <v>135</v>
      </c>
      <c r="E164" s="14"/>
      <c r="F164" s="14"/>
      <c r="G164" s="15" t="s">
        <v>366</v>
      </c>
      <c r="H164" s="16" t="s">
        <v>360</v>
      </c>
      <c r="I164" s="14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</row>
    <row r="165" ht="14.25" customHeight="1">
      <c r="A165" s="11" t="s">
        <v>371</v>
      </c>
      <c r="B165" s="13" t="s">
        <v>358</v>
      </c>
      <c r="C165" s="13" t="s">
        <v>134</v>
      </c>
      <c r="D165" s="13" t="s">
        <v>135</v>
      </c>
      <c r="E165" s="14"/>
      <c r="F165" s="14"/>
      <c r="G165" s="15" t="s">
        <v>372</v>
      </c>
      <c r="H165" s="16" t="s">
        <v>360</v>
      </c>
      <c r="I165" s="14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</row>
    <row r="166" ht="14.25" customHeight="1">
      <c r="A166" s="11" t="s">
        <v>373</v>
      </c>
      <c r="B166" s="13" t="s">
        <v>358</v>
      </c>
      <c r="C166" s="13" t="s">
        <v>134</v>
      </c>
      <c r="D166" s="13" t="s">
        <v>135</v>
      </c>
      <c r="E166" s="14"/>
      <c r="F166" s="14"/>
      <c r="G166" s="15" t="s">
        <v>372</v>
      </c>
      <c r="H166" s="16" t="s">
        <v>360</v>
      </c>
      <c r="I166" s="14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</row>
    <row r="167" ht="14.25" customHeight="1">
      <c r="A167" s="11" t="s">
        <v>374</v>
      </c>
      <c r="B167" s="13" t="s">
        <v>358</v>
      </c>
      <c r="C167" s="13" t="s">
        <v>134</v>
      </c>
      <c r="D167" s="13" t="s">
        <v>135</v>
      </c>
      <c r="E167" s="14"/>
      <c r="F167" s="14"/>
      <c r="G167" s="15" t="s">
        <v>372</v>
      </c>
      <c r="H167" s="16" t="s">
        <v>360</v>
      </c>
      <c r="I167" s="14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</row>
    <row r="168" ht="14.25" customHeight="1">
      <c r="A168" s="11" t="s">
        <v>375</v>
      </c>
      <c r="B168" s="13" t="s">
        <v>358</v>
      </c>
      <c r="C168" s="13" t="s">
        <v>134</v>
      </c>
      <c r="D168" s="13" t="s">
        <v>135</v>
      </c>
      <c r="E168" s="14"/>
      <c r="F168" s="14"/>
      <c r="G168" s="15" t="s">
        <v>372</v>
      </c>
      <c r="H168" s="16" t="s">
        <v>360</v>
      </c>
      <c r="I168" s="14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</row>
    <row r="169" ht="14.25" customHeight="1">
      <c r="A169" s="11" t="s">
        <v>376</v>
      </c>
      <c r="B169" s="13" t="s">
        <v>358</v>
      </c>
      <c r="C169" s="13" t="s">
        <v>134</v>
      </c>
      <c r="D169" s="13" t="s">
        <v>135</v>
      </c>
      <c r="E169" s="14"/>
      <c r="F169" s="14"/>
      <c r="G169" s="15" t="s">
        <v>372</v>
      </c>
      <c r="H169" s="16" t="s">
        <v>360</v>
      </c>
      <c r="I169" s="14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</row>
    <row r="170" ht="14.25" customHeight="1">
      <c r="A170" s="11" t="s">
        <v>377</v>
      </c>
      <c r="B170" s="13" t="s">
        <v>378</v>
      </c>
      <c r="C170" s="13" t="s">
        <v>134</v>
      </c>
      <c r="D170" s="13" t="s">
        <v>135</v>
      </c>
      <c r="E170" s="14"/>
      <c r="F170" s="14"/>
      <c r="G170" s="14"/>
      <c r="H170" s="16" t="s">
        <v>360</v>
      </c>
      <c r="I170" s="14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</row>
    <row r="171" ht="14.25" customHeight="1">
      <c r="A171" s="11" t="s">
        <v>379</v>
      </c>
      <c r="B171" s="13" t="s">
        <v>378</v>
      </c>
      <c r="C171" s="13" t="s">
        <v>134</v>
      </c>
      <c r="D171" s="13" t="s">
        <v>135</v>
      </c>
      <c r="E171" s="14"/>
      <c r="F171" s="14"/>
      <c r="G171" s="14"/>
      <c r="H171" s="16" t="s">
        <v>360</v>
      </c>
      <c r="I171" s="14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</row>
    <row r="172" ht="14.25" customHeight="1">
      <c r="A172" s="11" t="s">
        <v>380</v>
      </c>
      <c r="B172" s="13" t="s">
        <v>378</v>
      </c>
      <c r="C172" s="13" t="s">
        <v>134</v>
      </c>
      <c r="D172" s="13" t="s">
        <v>135</v>
      </c>
      <c r="E172" s="14"/>
      <c r="F172" s="14"/>
      <c r="G172" s="14"/>
      <c r="H172" s="16" t="s">
        <v>360</v>
      </c>
      <c r="I172" s="14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</row>
    <row r="173" ht="14.25" customHeight="1">
      <c r="A173" s="11" t="s">
        <v>381</v>
      </c>
      <c r="B173" s="13" t="s">
        <v>378</v>
      </c>
      <c r="C173" s="13" t="s">
        <v>134</v>
      </c>
      <c r="D173" s="13" t="s">
        <v>135</v>
      </c>
      <c r="E173" s="14"/>
      <c r="F173" s="14"/>
      <c r="G173" s="14"/>
      <c r="H173" s="16" t="s">
        <v>360</v>
      </c>
      <c r="I173" s="14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</row>
    <row r="174" ht="14.25" customHeight="1">
      <c r="A174" s="11" t="s">
        <v>382</v>
      </c>
      <c r="B174" s="13" t="s">
        <v>378</v>
      </c>
      <c r="C174" s="13" t="s">
        <v>134</v>
      </c>
      <c r="D174" s="13" t="s">
        <v>135</v>
      </c>
      <c r="E174" s="14"/>
      <c r="F174" s="14"/>
      <c r="G174" s="14"/>
      <c r="H174" s="16" t="s">
        <v>360</v>
      </c>
      <c r="I174" s="14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</row>
    <row r="175" ht="14.25" customHeight="1">
      <c r="A175" s="11" t="s">
        <v>383</v>
      </c>
      <c r="B175" s="13" t="s">
        <v>378</v>
      </c>
      <c r="C175" s="13" t="s">
        <v>134</v>
      </c>
      <c r="D175" s="13" t="s">
        <v>135</v>
      </c>
      <c r="E175" s="14"/>
      <c r="F175" s="14"/>
      <c r="G175" s="15" t="s">
        <v>384</v>
      </c>
      <c r="H175" s="16" t="s">
        <v>360</v>
      </c>
      <c r="I175" s="14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</row>
    <row r="176" ht="14.25" customHeight="1">
      <c r="A176" s="11" t="s">
        <v>385</v>
      </c>
      <c r="B176" s="13" t="s">
        <v>378</v>
      </c>
      <c r="C176" s="13" t="s">
        <v>134</v>
      </c>
      <c r="D176" s="13" t="s">
        <v>135</v>
      </c>
      <c r="E176" s="14"/>
      <c r="F176" s="14"/>
      <c r="G176" s="15" t="s">
        <v>384</v>
      </c>
      <c r="H176" s="16" t="s">
        <v>360</v>
      </c>
      <c r="I176" s="14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</row>
    <row r="177" ht="14.25" customHeight="1">
      <c r="A177" s="11" t="s">
        <v>386</v>
      </c>
      <c r="B177" s="13" t="s">
        <v>378</v>
      </c>
      <c r="C177" s="13" t="s">
        <v>134</v>
      </c>
      <c r="D177" s="13" t="s">
        <v>135</v>
      </c>
      <c r="E177" s="14"/>
      <c r="F177" s="14"/>
      <c r="G177" s="15" t="s">
        <v>384</v>
      </c>
      <c r="H177" s="16" t="s">
        <v>360</v>
      </c>
      <c r="I177" s="14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</row>
    <row r="178" ht="14.25" customHeight="1">
      <c r="A178" s="11" t="s">
        <v>387</v>
      </c>
      <c r="B178" s="13" t="s">
        <v>378</v>
      </c>
      <c r="C178" s="13" t="s">
        <v>134</v>
      </c>
      <c r="D178" s="13" t="s">
        <v>135</v>
      </c>
      <c r="E178" s="14"/>
      <c r="F178" s="14"/>
      <c r="G178" s="15" t="s">
        <v>384</v>
      </c>
      <c r="H178" s="16" t="s">
        <v>360</v>
      </c>
      <c r="I178" s="14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</row>
    <row r="179" ht="14.25" customHeight="1">
      <c r="A179" s="11" t="s">
        <v>388</v>
      </c>
      <c r="B179" s="13" t="s">
        <v>378</v>
      </c>
      <c r="C179" s="13" t="s">
        <v>134</v>
      </c>
      <c r="D179" s="13" t="s">
        <v>135</v>
      </c>
      <c r="E179" s="14"/>
      <c r="F179" s="14"/>
      <c r="G179" s="15" t="s">
        <v>384</v>
      </c>
      <c r="H179" s="16" t="s">
        <v>360</v>
      </c>
      <c r="I179" s="14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</row>
    <row r="180" ht="14.25" customHeight="1">
      <c r="A180" s="11" t="s">
        <v>389</v>
      </c>
      <c r="B180" s="13" t="s">
        <v>378</v>
      </c>
      <c r="C180" s="13" t="s">
        <v>134</v>
      </c>
      <c r="D180" s="13" t="s">
        <v>135</v>
      </c>
      <c r="E180" s="14"/>
      <c r="F180" s="14"/>
      <c r="G180" s="15" t="s">
        <v>390</v>
      </c>
      <c r="H180" s="16" t="s">
        <v>360</v>
      </c>
      <c r="I180" s="14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</row>
    <row r="181" ht="14.25" customHeight="1">
      <c r="A181" s="11" t="s">
        <v>391</v>
      </c>
      <c r="B181" s="13" t="s">
        <v>378</v>
      </c>
      <c r="C181" s="13" t="s">
        <v>134</v>
      </c>
      <c r="D181" s="13" t="s">
        <v>135</v>
      </c>
      <c r="E181" s="14"/>
      <c r="F181" s="14"/>
      <c r="G181" s="15" t="s">
        <v>390</v>
      </c>
      <c r="H181" s="16" t="s">
        <v>360</v>
      </c>
      <c r="I181" s="14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</row>
    <row r="182" ht="14.25" customHeight="1">
      <c r="A182" s="11" t="s">
        <v>392</v>
      </c>
      <c r="B182" s="13" t="s">
        <v>378</v>
      </c>
      <c r="C182" s="13" t="s">
        <v>134</v>
      </c>
      <c r="D182" s="13" t="s">
        <v>135</v>
      </c>
      <c r="E182" s="14"/>
      <c r="F182" s="14"/>
      <c r="G182" s="15" t="s">
        <v>390</v>
      </c>
      <c r="H182" s="16" t="s">
        <v>360</v>
      </c>
      <c r="I182" s="14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</row>
    <row r="183" ht="14.25" customHeight="1">
      <c r="A183" s="11" t="s">
        <v>393</v>
      </c>
      <c r="B183" s="13" t="s">
        <v>378</v>
      </c>
      <c r="C183" s="13" t="s">
        <v>134</v>
      </c>
      <c r="D183" s="13" t="s">
        <v>135</v>
      </c>
      <c r="E183" s="14"/>
      <c r="F183" s="14"/>
      <c r="G183" s="15" t="s">
        <v>390</v>
      </c>
      <c r="H183" s="16" t="s">
        <v>360</v>
      </c>
      <c r="I183" s="14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</row>
    <row r="184" ht="14.25" customHeight="1">
      <c r="A184" s="11" t="s">
        <v>394</v>
      </c>
      <c r="B184" s="13" t="s">
        <v>378</v>
      </c>
      <c r="C184" s="13" t="s">
        <v>134</v>
      </c>
      <c r="D184" s="13" t="s">
        <v>135</v>
      </c>
      <c r="E184" s="14"/>
      <c r="F184" s="14"/>
      <c r="G184" s="15" t="s">
        <v>390</v>
      </c>
      <c r="H184" s="16" t="s">
        <v>360</v>
      </c>
      <c r="I184" s="14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</row>
    <row r="185" ht="14.25" customHeight="1">
      <c r="A185" s="11" t="s">
        <v>395</v>
      </c>
      <c r="B185" s="12">
        <v>1594.0</v>
      </c>
      <c r="C185" s="13" t="s">
        <v>134</v>
      </c>
      <c r="D185" s="13" t="s">
        <v>135</v>
      </c>
      <c r="E185" s="14"/>
      <c r="F185" s="14"/>
      <c r="G185" s="15" t="s">
        <v>396</v>
      </c>
      <c r="H185" s="16" t="s">
        <v>201</v>
      </c>
      <c r="I185" s="9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</row>
    <row r="186" ht="14.25" customHeight="1">
      <c r="A186" s="11" t="s">
        <v>397</v>
      </c>
      <c r="B186" s="12">
        <v>1594.0</v>
      </c>
      <c r="C186" s="13" t="s">
        <v>134</v>
      </c>
      <c r="D186" s="13" t="s">
        <v>135</v>
      </c>
      <c r="E186" s="14"/>
      <c r="F186" s="14"/>
      <c r="G186" s="15" t="s">
        <v>396</v>
      </c>
      <c r="H186" s="16" t="s">
        <v>201</v>
      </c>
      <c r="I186" s="9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</row>
    <row r="187" ht="14.25" customHeight="1">
      <c r="A187" s="11" t="s">
        <v>398</v>
      </c>
      <c r="B187" s="12">
        <v>1594.0</v>
      </c>
      <c r="C187" s="13" t="s">
        <v>134</v>
      </c>
      <c r="D187" s="13" t="s">
        <v>135</v>
      </c>
      <c r="E187" s="14"/>
      <c r="F187" s="14"/>
      <c r="G187" s="15" t="s">
        <v>396</v>
      </c>
      <c r="H187" s="16" t="s">
        <v>201</v>
      </c>
      <c r="I187" s="9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</row>
    <row r="188" ht="14.25" customHeight="1">
      <c r="A188" s="11" t="s">
        <v>399</v>
      </c>
      <c r="B188" s="12">
        <v>1594.0</v>
      </c>
      <c r="C188" s="13" t="s">
        <v>134</v>
      </c>
      <c r="D188" s="13" t="s">
        <v>135</v>
      </c>
      <c r="E188" s="14"/>
      <c r="F188" s="14"/>
      <c r="G188" s="15" t="s">
        <v>396</v>
      </c>
      <c r="H188" s="16" t="s">
        <v>201</v>
      </c>
      <c r="I188" s="9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</row>
    <row r="189" ht="14.25" customHeight="1">
      <c r="A189" s="11" t="s">
        <v>400</v>
      </c>
      <c r="B189" s="13" t="s">
        <v>401</v>
      </c>
      <c r="C189" s="13" t="s">
        <v>134</v>
      </c>
      <c r="D189" s="13" t="s">
        <v>135</v>
      </c>
      <c r="E189" s="14"/>
      <c r="F189" s="14"/>
      <c r="G189" s="15" t="s">
        <v>402</v>
      </c>
      <c r="H189" s="16" t="s">
        <v>403</v>
      </c>
      <c r="I189" s="14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</row>
    <row r="190" ht="14.25" customHeight="1">
      <c r="A190" s="11" t="s">
        <v>404</v>
      </c>
      <c r="B190" s="13" t="s">
        <v>401</v>
      </c>
      <c r="C190" s="13" t="s">
        <v>134</v>
      </c>
      <c r="D190" s="13" t="s">
        <v>135</v>
      </c>
      <c r="E190" s="14"/>
      <c r="F190" s="14"/>
      <c r="G190" s="15" t="s">
        <v>402</v>
      </c>
      <c r="H190" s="16" t="s">
        <v>403</v>
      </c>
      <c r="I190" s="14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</row>
    <row r="191" ht="14.25" customHeight="1">
      <c r="A191" s="11" t="s">
        <v>405</v>
      </c>
      <c r="B191" s="13" t="s">
        <v>401</v>
      </c>
      <c r="C191" s="13" t="s">
        <v>134</v>
      </c>
      <c r="D191" s="13" t="s">
        <v>135</v>
      </c>
      <c r="E191" s="14"/>
      <c r="F191" s="14"/>
      <c r="G191" s="15" t="s">
        <v>402</v>
      </c>
      <c r="H191" s="16" t="s">
        <v>403</v>
      </c>
      <c r="I191" s="14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</row>
    <row r="192" ht="14.25" customHeight="1">
      <c r="A192" s="11" t="s">
        <v>406</v>
      </c>
      <c r="B192" s="13" t="s">
        <v>401</v>
      </c>
      <c r="C192" s="13" t="s">
        <v>134</v>
      </c>
      <c r="D192" s="13" t="s">
        <v>135</v>
      </c>
      <c r="E192" s="14"/>
      <c r="F192" s="14"/>
      <c r="G192" s="15" t="s">
        <v>402</v>
      </c>
      <c r="H192" s="16" t="s">
        <v>403</v>
      </c>
      <c r="I192" s="14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</row>
    <row r="193" ht="14.25" customHeight="1">
      <c r="A193" s="11" t="s">
        <v>407</v>
      </c>
      <c r="B193" s="13" t="s">
        <v>401</v>
      </c>
      <c r="C193" s="13" t="s">
        <v>134</v>
      </c>
      <c r="D193" s="13" t="s">
        <v>135</v>
      </c>
      <c r="E193" s="14"/>
      <c r="F193" s="14"/>
      <c r="G193" s="15" t="s">
        <v>402</v>
      </c>
      <c r="H193" s="16" t="s">
        <v>403</v>
      </c>
      <c r="I193" s="14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</row>
    <row r="194" ht="14.25" customHeight="1">
      <c r="A194" s="11" t="s">
        <v>408</v>
      </c>
      <c r="B194" s="13" t="s">
        <v>409</v>
      </c>
      <c r="C194" s="13" t="s">
        <v>134</v>
      </c>
      <c r="D194" s="13" t="s">
        <v>135</v>
      </c>
      <c r="E194" s="14"/>
      <c r="F194" s="14"/>
      <c r="G194" s="15" t="s">
        <v>410</v>
      </c>
      <c r="H194" s="16" t="s">
        <v>306</v>
      </c>
      <c r="I194" s="14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</row>
    <row r="195" ht="14.25" customHeight="1">
      <c r="A195" s="11" t="s">
        <v>411</v>
      </c>
      <c r="B195" s="13" t="s">
        <v>409</v>
      </c>
      <c r="C195" s="13" t="s">
        <v>134</v>
      </c>
      <c r="D195" s="13" t="s">
        <v>135</v>
      </c>
      <c r="E195" s="14"/>
      <c r="F195" s="14"/>
      <c r="G195" s="15" t="s">
        <v>410</v>
      </c>
      <c r="H195" s="16" t="s">
        <v>306</v>
      </c>
      <c r="I195" s="14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</row>
    <row r="196" ht="14.25" customHeight="1">
      <c r="A196" s="11" t="s">
        <v>412</v>
      </c>
      <c r="B196" s="13" t="s">
        <v>409</v>
      </c>
      <c r="C196" s="13" t="s">
        <v>134</v>
      </c>
      <c r="D196" s="13" t="s">
        <v>135</v>
      </c>
      <c r="E196" s="14"/>
      <c r="F196" s="14"/>
      <c r="G196" s="15" t="s">
        <v>410</v>
      </c>
      <c r="H196" s="16" t="s">
        <v>306</v>
      </c>
      <c r="I196" s="14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</row>
    <row r="197" ht="14.25" customHeight="1">
      <c r="A197" s="11" t="s">
        <v>413</v>
      </c>
      <c r="B197" s="13" t="s">
        <v>409</v>
      </c>
      <c r="C197" s="13" t="s">
        <v>134</v>
      </c>
      <c r="D197" s="13" t="s">
        <v>135</v>
      </c>
      <c r="E197" s="14"/>
      <c r="F197" s="14"/>
      <c r="G197" s="15" t="s">
        <v>410</v>
      </c>
      <c r="H197" s="16" t="s">
        <v>306</v>
      </c>
      <c r="I197" s="14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</row>
    <row r="198" ht="14.25" customHeight="1">
      <c r="A198" s="11" t="s">
        <v>414</v>
      </c>
      <c r="B198" s="12">
        <v>1769.0</v>
      </c>
      <c r="C198" s="13" t="s">
        <v>134</v>
      </c>
      <c r="D198" s="13" t="s">
        <v>135</v>
      </c>
      <c r="E198" s="14"/>
      <c r="F198" s="14"/>
      <c r="G198" s="15" t="s">
        <v>415</v>
      </c>
      <c r="H198" s="16" t="s">
        <v>416</v>
      </c>
      <c r="I198" s="14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</row>
    <row r="199" ht="14.25" customHeight="1">
      <c r="A199" s="11" t="s">
        <v>417</v>
      </c>
      <c r="B199" s="12">
        <v>1769.0</v>
      </c>
      <c r="C199" s="13" t="s">
        <v>134</v>
      </c>
      <c r="D199" s="13" t="s">
        <v>135</v>
      </c>
      <c r="E199" s="14"/>
      <c r="F199" s="14"/>
      <c r="G199" s="15" t="s">
        <v>418</v>
      </c>
      <c r="H199" s="16" t="s">
        <v>416</v>
      </c>
      <c r="I199" s="14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</row>
    <row r="200" ht="14.25" customHeight="1">
      <c r="A200" s="11" t="s">
        <v>419</v>
      </c>
      <c r="B200" s="12">
        <v>1769.0</v>
      </c>
      <c r="C200" s="13" t="s">
        <v>134</v>
      </c>
      <c r="D200" s="13" t="s">
        <v>135</v>
      </c>
      <c r="E200" s="14"/>
      <c r="F200" s="14"/>
      <c r="G200" s="15" t="s">
        <v>420</v>
      </c>
      <c r="H200" s="16" t="s">
        <v>416</v>
      </c>
      <c r="I200" s="14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</row>
    <row r="201" ht="14.25" customHeight="1">
      <c r="A201" s="11" t="s">
        <v>421</v>
      </c>
      <c r="B201" s="12">
        <v>1769.0</v>
      </c>
      <c r="C201" s="13" t="s">
        <v>134</v>
      </c>
      <c r="D201" s="13" t="s">
        <v>135</v>
      </c>
      <c r="E201" s="14"/>
      <c r="F201" s="14"/>
      <c r="G201" s="15" t="s">
        <v>422</v>
      </c>
      <c r="H201" s="16" t="s">
        <v>416</v>
      </c>
      <c r="I201" s="14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</row>
    <row r="202" ht="14.25" customHeight="1">
      <c r="A202" s="11" t="s">
        <v>423</v>
      </c>
      <c r="B202" s="12">
        <v>1787.0</v>
      </c>
      <c r="C202" s="13" t="s">
        <v>134</v>
      </c>
      <c r="D202" s="13" t="s">
        <v>135</v>
      </c>
      <c r="E202" s="14"/>
      <c r="F202" s="14"/>
      <c r="G202" s="15" t="s">
        <v>424</v>
      </c>
      <c r="H202" s="16" t="s">
        <v>416</v>
      </c>
      <c r="I202" s="14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</row>
    <row r="203" ht="14.25" customHeight="1">
      <c r="A203" s="11" t="s">
        <v>425</v>
      </c>
      <c r="B203" s="12">
        <v>1787.0</v>
      </c>
      <c r="C203" s="13" t="s">
        <v>134</v>
      </c>
      <c r="D203" s="13" t="s">
        <v>135</v>
      </c>
      <c r="E203" s="14"/>
      <c r="F203" s="14"/>
      <c r="G203" s="15" t="s">
        <v>424</v>
      </c>
      <c r="H203" s="16" t="s">
        <v>416</v>
      </c>
      <c r="I203" s="14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</row>
    <row r="204" ht="14.25" customHeight="1">
      <c r="A204" s="11" t="s">
        <v>426</v>
      </c>
      <c r="B204" s="12">
        <v>1787.0</v>
      </c>
      <c r="C204" s="13" t="s">
        <v>134</v>
      </c>
      <c r="D204" s="13" t="s">
        <v>135</v>
      </c>
      <c r="E204" s="14"/>
      <c r="F204" s="14"/>
      <c r="G204" s="15" t="s">
        <v>424</v>
      </c>
      <c r="H204" s="16" t="s">
        <v>416</v>
      </c>
      <c r="I204" s="14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</row>
    <row r="205" ht="14.25" customHeight="1">
      <c r="A205" s="11" t="s">
        <v>427</v>
      </c>
      <c r="B205" s="12">
        <v>1787.0</v>
      </c>
      <c r="C205" s="13" t="s">
        <v>134</v>
      </c>
      <c r="D205" s="13" t="s">
        <v>135</v>
      </c>
      <c r="E205" s="14"/>
      <c r="F205" s="14"/>
      <c r="G205" s="15" t="s">
        <v>424</v>
      </c>
      <c r="H205" s="16" t="s">
        <v>416</v>
      </c>
      <c r="I205" s="14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</row>
    <row r="206" ht="14.25" customHeight="1">
      <c r="A206" s="11" t="s">
        <v>428</v>
      </c>
      <c r="B206" s="12">
        <v>1787.0</v>
      </c>
      <c r="C206" s="13" t="s">
        <v>134</v>
      </c>
      <c r="D206" s="13" t="s">
        <v>135</v>
      </c>
      <c r="E206" s="14"/>
      <c r="F206" s="14"/>
      <c r="G206" s="15" t="s">
        <v>429</v>
      </c>
      <c r="H206" s="16" t="s">
        <v>416</v>
      </c>
      <c r="I206" s="14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</row>
    <row r="207" ht="14.25" customHeight="1">
      <c r="A207" s="11" t="s">
        <v>430</v>
      </c>
      <c r="B207" s="12">
        <v>1787.0</v>
      </c>
      <c r="C207" s="13" t="s">
        <v>134</v>
      </c>
      <c r="D207" s="13" t="s">
        <v>135</v>
      </c>
      <c r="E207" s="14"/>
      <c r="F207" s="14"/>
      <c r="G207" s="15" t="s">
        <v>429</v>
      </c>
      <c r="H207" s="16" t="s">
        <v>416</v>
      </c>
      <c r="I207" s="14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</row>
    <row r="208" ht="14.25" customHeight="1">
      <c r="A208" s="11" t="s">
        <v>431</v>
      </c>
      <c r="B208" s="12">
        <v>1787.0</v>
      </c>
      <c r="C208" s="13" t="s">
        <v>134</v>
      </c>
      <c r="D208" s="13" t="s">
        <v>135</v>
      </c>
      <c r="E208" s="14"/>
      <c r="F208" s="14"/>
      <c r="G208" s="15" t="s">
        <v>429</v>
      </c>
      <c r="H208" s="16" t="s">
        <v>416</v>
      </c>
      <c r="I208" s="14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</row>
    <row r="209" ht="14.25" customHeight="1">
      <c r="A209" s="11" t="s">
        <v>432</v>
      </c>
      <c r="B209" s="12">
        <v>1787.0</v>
      </c>
      <c r="C209" s="13" t="s">
        <v>134</v>
      </c>
      <c r="D209" s="13" t="s">
        <v>135</v>
      </c>
      <c r="E209" s="14"/>
      <c r="F209" s="14"/>
      <c r="G209" s="15" t="s">
        <v>429</v>
      </c>
      <c r="H209" s="16" t="s">
        <v>416</v>
      </c>
      <c r="I209" s="14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</row>
    <row r="210" ht="14.25" customHeight="1">
      <c r="A210" s="11" t="s">
        <v>433</v>
      </c>
      <c r="B210" s="13" t="s">
        <v>434</v>
      </c>
      <c r="C210" s="13" t="s">
        <v>134</v>
      </c>
      <c r="D210" s="13" t="s">
        <v>135</v>
      </c>
      <c r="E210" s="14"/>
      <c r="F210" s="14"/>
      <c r="G210" s="15" t="s">
        <v>435</v>
      </c>
      <c r="H210" s="16" t="s">
        <v>360</v>
      </c>
      <c r="I210" s="14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</row>
    <row r="211" ht="14.25" customHeight="1">
      <c r="A211" s="11" t="s">
        <v>436</v>
      </c>
      <c r="B211" s="13" t="s">
        <v>434</v>
      </c>
      <c r="C211" s="13" t="s">
        <v>134</v>
      </c>
      <c r="D211" s="13" t="s">
        <v>135</v>
      </c>
      <c r="E211" s="14"/>
      <c r="F211" s="14"/>
      <c r="G211" s="15" t="s">
        <v>435</v>
      </c>
      <c r="H211" s="16" t="s">
        <v>360</v>
      </c>
      <c r="I211" s="14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</row>
    <row r="212" ht="14.25" customHeight="1">
      <c r="A212" s="11" t="s">
        <v>437</v>
      </c>
      <c r="B212" s="13" t="s">
        <v>434</v>
      </c>
      <c r="C212" s="13" t="s">
        <v>134</v>
      </c>
      <c r="D212" s="13" t="s">
        <v>135</v>
      </c>
      <c r="E212" s="14"/>
      <c r="F212" s="14"/>
      <c r="G212" s="15" t="s">
        <v>435</v>
      </c>
      <c r="H212" s="16" t="s">
        <v>360</v>
      </c>
      <c r="I212" s="14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</row>
    <row r="213" ht="14.25" customHeight="1">
      <c r="A213" s="11" t="s">
        <v>438</v>
      </c>
      <c r="B213" s="13" t="s">
        <v>434</v>
      </c>
      <c r="C213" s="13" t="s">
        <v>134</v>
      </c>
      <c r="D213" s="13" t="s">
        <v>135</v>
      </c>
      <c r="E213" s="14"/>
      <c r="F213" s="14"/>
      <c r="G213" s="15" t="s">
        <v>435</v>
      </c>
      <c r="H213" s="16" t="s">
        <v>360</v>
      </c>
      <c r="I213" s="14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</row>
    <row r="214" ht="14.25" customHeight="1">
      <c r="A214" s="11" t="s">
        <v>439</v>
      </c>
      <c r="B214" s="13" t="s">
        <v>434</v>
      </c>
      <c r="C214" s="13" t="s">
        <v>134</v>
      </c>
      <c r="D214" s="13" t="s">
        <v>135</v>
      </c>
      <c r="E214" s="14"/>
      <c r="F214" s="14"/>
      <c r="G214" s="15" t="s">
        <v>435</v>
      </c>
      <c r="H214" s="16" t="s">
        <v>360</v>
      </c>
      <c r="I214" s="14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</row>
    <row r="215" ht="14.25" customHeight="1">
      <c r="A215" s="11" t="s">
        <v>440</v>
      </c>
      <c r="B215" s="13" t="s">
        <v>434</v>
      </c>
      <c r="C215" s="13" t="s">
        <v>134</v>
      </c>
      <c r="D215" s="13" t="s">
        <v>135</v>
      </c>
      <c r="E215" s="14"/>
      <c r="F215" s="14"/>
      <c r="G215" s="15" t="s">
        <v>441</v>
      </c>
      <c r="H215" s="16" t="s">
        <v>360</v>
      </c>
      <c r="I215" s="14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</row>
    <row r="216" ht="14.25" customHeight="1">
      <c r="A216" s="11" t="s">
        <v>442</v>
      </c>
      <c r="B216" s="13" t="s">
        <v>434</v>
      </c>
      <c r="C216" s="13" t="s">
        <v>134</v>
      </c>
      <c r="D216" s="13" t="s">
        <v>135</v>
      </c>
      <c r="E216" s="14"/>
      <c r="F216" s="14"/>
      <c r="G216" s="15" t="s">
        <v>441</v>
      </c>
      <c r="H216" s="16" t="s">
        <v>360</v>
      </c>
      <c r="I216" s="14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</row>
    <row r="217" ht="14.25" customHeight="1">
      <c r="A217" s="11" t="s">
        <v>443</v>
      </c>
      <c r="B217" s="13" t="s">
        <v>434</v>
      </c>
      <c r="C217" s="13" t="s">
        <v>134</v>
      </c>
      <c r="D217" s="13" t="s">
        <v>135</v>
      </c>
      <c r="E217" s="14"/>
      <c r="F217" s="14"/>
      <c r="G217" s="15" t="s">
        <v>441</v>
      </c>
      <c r="H217" s="16" t="s">
        <v>360</v>
      </c>
      <c r="I217" s="14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</row>
    <row r="218" ht="14.25" customHeight="1">
      <c r="A218" s="11" t="s">
        <v>444</v>
      </c>
      <c r="B218" s="13" t="s">
        <v>434</v>
      </c>
      <c r="C218" s="13" t="s">
        <v>134</v>
      </c>
      <c r="D218" s="13" t="s">
        <v>135</v>
      </c>
      <c r="E218" s="14"/>
      <c r="F218" s="14"/>
      <c r="G218" s="15" t="s">
        <v>441</v>
      </c>
      <c r="H218" s="16" t="s">
        <v>360</v>
      </c>
      <c r="I218" s="14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</row>
    <row r="219" ht="14.25" customHeight="1">
      <c r="A219" s="11" t="s">
        <v>445</v>
      </c>
      <c r="B219" s="13" t="s">
        <v>434</v>
      </c>
      <c r="C219" s="13" t="s">
        <v>134</v>
      </c>
      <c r="D219" s="13" t="s">
        <v>135</v>
      </c>
      <c r="E219" s="14"/>
      <c r="F219" s="14"/>
      <c r="G219" s="15" t="s">
        <v>441</v>
      </c>
      <c r="H219" s="16" t="s">
        <v>360</v>
      </c>
      <c r="I219" s="14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</row>
    <row r="220" ht="14.25" customHeight="1">
      <c r="A220" s="11" t="s">
        <v>446</v>
      </c>
      <c r="B220" s="13" t="s">
        <v>434</v>
      </c>
      <c r="C220" s="13" t="s">
        <v>134</v>
      </c>
      <c r="D220" s="13" t="s">
        <v>135</v>
      </c>
      <c r="E220" s="14"/>
      <c r="F220" s="14"/>
      <c r="G220" s="15" t="s">
        <v>447</v>
      </c>
      <c r="H220" s="16" t="s">
        <v>360</v>
      </c>
      <c r="I220" s="14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</cols>
  <sheetData>
    <row r="1" ht="14.25" customHeight="1">
      <c r="A1" s="5" t="s">
        <v>448</v>
      </c>
      <c r="B1" s="5" t="s">
        <v>449</v>
      </c>
      <c r="C1" s="17" t="s">
        <v>450</v>
      </c>
      <c r="D1" s="17" t="s">
        <v>451</v>
      </c>
      <c r="E1" s="17" t="s">
        <v>452</v>
      </c>
      <c r="F1" s="17" t="s">
        <v>8</v>
      </c>
      <c r="G1" s="17" t="s">
        <v>9</v>
      </c>
      <c r="H1" s="17" t="s">
        <v>453</v>
      </c>
      <c r="I1" s="5" t="s">
        <v>454</v>
      </c>
      <c r="J1" s="5" t="s">
        <v>455</v>
      </c>
    </row>
    <row r="2" ht="14.25" customHeight="1">
      <c r="A2" s="17" t="s">
        <v>456</v>
      </c>
      <c r="B2" s="17" t="s">
        <v>457</v>
      </c>
      <c r="C2" s="17" t="s">
        <v>458</v>
      </c>
      <c r="D2" s="18">
        <v>1.0</v>
      </c>
      <c r="E2" s="17" t="s">
        <v>161</v>
      </c>
      <c r="F2" s="17" t="s">
        <v>459</v>
      </c>
      <c r="G2" s="17" t="s">
        <v>460</v>
      </c>
      <c r="H2" s="18">
        <v>53.0</v>
      </c>
      <c r="I2" s="19">
        <v>45987.0</v>
      </c>
      <c r="J2" s="5" t="s">
        <v>461</v>
      </c>
    </row>
    <row r="3" ht="14.25" customHeight="1">
      <c r="A3" s="17" t="s">
        <v>456</v>
      </c>
      <c r="B3" s="17" t="s">
        <v>457</v>
      </c>
      <c r="C3" s="17" t="s">
        <v>462</v>
      </c>
      <c r="D3" s="18">
        <v>1.0</v>
      </c>
      <c r="E3" s="17" t="s">
        <v>161</v>
      </c>
      <c r="F3" s="17" t="s">
        <v>459</v>
      </c>
      <c r="G3" s="17" t="s">
        <v>463</v>
      </c>
      <c r="H3" s="18">
        <v>99.0</v>
      </c>
      <c r="I3" s="19">
        <v>45987.0</v>
      </c>
      <c r="J3" s="5" t="s">
        <v>461</v>
      </c>
    </row>
    <row r="4" ht="14.25" customHeight="1">
      <c r="A4" s="17" t="s">
        <v>456</v>
      </c>
      <c r="B4" s="17" t="s">
        <v>457</v>
      </c>
      <c r="C4" s="17" t="s">
        <v>462</v>
      </c>
      <c r="D4" s="18">
        <v>1.0</v>
      </c>
      <c r="E4" s="17" t="s">
        <v>161</v>
      </c>
      <c r="F4" s="17" t="s">
        <v>464</v>
      </c>
      <c r="G4" s="17" t="s">
        <v>463</v>
      </c>
      <c r="H4" s="18">
        <v>68.0</v>
      </c>
      <c r="I4" s="19">
        <v>45987.0</v>
      </c>
      <c r="J4" s="5" t="s">
        <v>461</v>
      </c>
    </row>
    <row r="5" ht="14.25" customHeight="1">
      <c r="A5" s="17" t="s">
        <v>456</v>
      </c>
      <c r="B5" s="17" t="s">
        <v>457</v>
      </c>
      <c r="C5" s="17" t="s">
        <v>462</v>
      </c>
      <c r="D5" s="18">
        <v>1.0</v>
      </c>
      <c r="E5" s="17" t="s">
        <v>161</v>
      </c>
      <c r="F5" s="17" t="s">
        <v>464</v>
      </c>
      <c r="G5" s="17" t="s">
        <v>465</v>
      </c>
      <c r="H5" s="18">
        <v>68.0</v>
      </c>
      <c r="I5" s="19">
        <v>45987.0</v>
      </c>
      <c r="J5" s="5" t="s">
        <v>461</v>
      </c>
    </row>
    <row r="6" ht="14.25" customHeight="1">
      <c r="A6" s="17" t="s">
        <v>456</v>
      </c>
      <c r="B6" s="17" t="s">
        <v>457</v>
      </c>
      <c r="C6" s="17" t="s">
        <v>462</v>
      </c>
      <c r="D6" s="18">
        <v>1.0</v>
      </c>
      <c r="E6" s="17" t="s">
        <v>161</v>
      </c>
      <c r="F6" s="17" t="s">
        <v>464</v>
      </c>
      <c r="G6" s="17" t="s">
        <v>466</v>
      </c>
      <c r="H6" s="18">
        <v>69.0</v>
      </c>
      <c r="I6" s="19">
        <v>45987.0</v>
      </c>
      <c r="J6" s="5" t="s">
        <v>461</v>
      </c>
    </row>
    <row r="7" ht="14.25" customHeight="1">
      <c r="A7" s="17" t="s">
        <v>456</v>
      </c>
      <c r="B7" s="17" t="s">
        <v>457</v>
      </c>
      <c r="C7" s="17" t="s">
        <v>462</v>
      </c>
      <c r="D7" s="18">
        <v>2.0</v>
      </c>
      <c r="E7" s="17" t="s">
        <v>161</v>
      </c>
      <c r="F7" s="17" t="s">
        <v>464</v>
      </c>
      <c r="G7" s="17" t="s">
        <v>466</v>
      </c>
      <c r="H7" s="18">
        <v>50.0</v>
      </c>
      <c r="I7" s="19">
        <v>45987.0</v>
      </c>
      <c r="J7" s="5" t="s">
        <v>461</v>
      </c>
    </row>
    <row r="8" ht="14.25" customHeight="1">
      <c r="A8" s="17" t="s">
        <v>456</v>
      </c>
      <c r="B8" s="17" t="s">
        <v>457</v>
      </c>
      <c r="C8" s="17" t="s">
        <v>462</v>
      </c>
      <c r="D8" s="18">
        <v>2.0</v>
      </c>
      <c r="E8" s="17" t="s">
        <v>167</v>
      </c>
      <c r="F8" s="17" t="s">
        <v>467</v>
      </c>
      <c r="G8" s="17" t="s">
        <v>463</v>
      </c>
      <c r="H8" s="18">
        <v>272.0</v>
      </c>
      <c r="I8" s="19">
        <v>45987.0</v>
      </c>
      <c r="J8" s="5" t="s">
        <v>461</v>
      </c>
    </row>
    <row r="9" ht="14.25" customHeight="1">
      <c r="A9" s="17" t="s">
        <v>456</v>
      </c>
      <c r="B9" s="17" t="s">
        <v>468</v>
      </c>
      <c r="C9" s="17" t="s">
        <v>462</v>
      </c>
      <c r="D9" s="18">
        <v>1.0</v>
      </c>
      <c r="E9" s="17" t="s">
        <v>161</v>
      </c>
      <c r="F9" s="17" t="s">
        <v>459</v>
      </c>
      <c r="G9" s="17" t="s">
        <v>466</v>
      </c>
      <c r="H9" s="18">
        <v>92.0</v>
      </c>
      <c r="I9" s="19">
        <v>45987.0</v>
      </c>
      <c r="J9" s="5" t="s">
        <v>461</v>
      </c>
    </row>
    <row r="10" ht="14.25" customHeight="1">
      <c r="A10" s="17" t="s">
        <v>456</v>
      </c>
      <c r="B10" s="17" t="s">
        <v>468</v>
      </c>
      <c r="C10" s="17" t="s">
        <v>462</v>
      </c>
      <c r="D10" s="18">
        <v>1.0</v>
      </c>
      <c r="E10" s="17" t="s">
        <v>170</v>
      </c>
      <c r="F10" s="17" t="s">
        <v>464</v>
      </c>
      <c r="G10" s="17" t="s">
        <v>460</v>
      </c>
      <c r="H10" s="18">
        <v>98.0</v>
      </c>
      <c r="I10" s="19">
        <v>45987.0</v>
      </c>
      <c r="J10" s="5" t="s">
        <v>461</v>
      </c>
    </row>
    <row r="11" ht="14.25" customHeight="1">
      <c r="A11" s="17" t="s">
        <v>456</v>
      </c>
      <c r="B11" s="17" t="s">
        <v>468</v>
      </c>
      <c r="C11" s="17" t="s">
        <v>462</v>
      </c>
      <c r="D11" s="18">
        <v>1.0</v>
      </c>
      <c r="E11" s="17" t="s">
        <v>170</v>
      </c>
      <c r="F11" s="17" t="s">
        <v>464</v>
      </c>
      <c r="G11" s="17" t="s">
        <v>463</v>
      </c>
      <c r="H11" s="18">
        <v>100.0</v>
      </c>
      <c r="I11" s="19">
        <v>45987.0</v>
      </c>
      <c r="J11" s="5" t="s">
        <v>461</v>
      </c>
    </row>
    <row r="12" ht="14.25" customHeight="1">
      <c r="A12" s="17" t="s">
        <v>456</v>
      </c>
      <c r="B12" s="17" t="s">
        <v>468</v>
      </c>
      <c r="C12" s="17" t="s">
        <v>462</v>
      </c>
      <c r="D12" s="18">
        <v>1.0</v>
      </c>
      <c r="E12" s="17" t="s">
        <v>170</v>
      </c>
      <c r="F12" s="17" t="s">
        <v>464</v>
      </c>
      <c r="G12" s="17" t="s">
        <v>465</v>
      </c>
      <c r="H12" s="18">
        <v>10.0</v>
      </c>
      <c r="I12" s="19">
        <v>45987.0</v>
      </c>
      <c r="J12" s="5" t="s">
        <v>461</v>
      </c>
    </row>
    <row r="13" ht="14.25" customHeight="1">
      <c r="A13" s="17" t="s">
        <v>456</v>
      </c>
      <c r="B13" s="17" t="s">
        <v>468</v>
      </c>
      <c r="C13" s="17" t="s">
        <v>462</v>
      </c>
      <c r="D13" s="18">
        <v>2.0</v>
      </c>
      <c r="E13" s="17" t="s">
        <v>170</v>
      </c>
      <c r="F13" s="17" t="s">
        <v>464</v>
      </c>
      <c r="G13" s="17" t="s">
        <v>465</v>
      </c>
      <c r="H13" s="18">
        <v>140.0</v>
      </c>
      <c r="I13" s="19">
        <v>45987.0</v>
      </c>
      <c r="J13" s="5" t="s">
        <v>461</v>
      </c>
    </row>
    <row r="14" ht="14.25" customHeight="1">
      <c r="A14" s="17" t="s">
        <v>456</v>
      </c>
      <c r="B14" s="17" t="s">
        <v>468</v>
      </c>
      <c r="C14" s="17" t="s">
        <v>462</v>
      </c>
      <c r="D14" s="18">
        <v>2.0</v>
      </c>
      <c r="E14" s="17" t="s">
        <v>174</v>
      </c>
      <c r="F14" s="17" t="s">
        <v>464</v>
      </c>
      <c r="G14" s="17" t="s">
        <v>460</v>
      </c>
      <c r="H14" s="18">
        <v>65.0</v>
      </c>
      <c r="I14" s="19">
        <v>45987.0</v>
      </c>
      <c r="J14" s="5" t="s">
        <v>461</v>
      </c>
    </row>
    <row r="15" ht="14.25" customHeight="1">
      <c r="A15" s="17" t="s">
        <v>456</v>
      </c>
      <c r="B15" s="17" t="s">
        <v>468</v>
      </c>
      <c r="C15" s="17" t="s">
        <v>462</v>
      </c>
      <c r="D15" s="18">
        <v>2.0</v>
      </c>
      <c r="E15" s="17" t="s">
        <v>174</v>
      </c>
      <c r="F15" s="17" t="s">
        <v>464</v>
      </c>
      <c r="G15" s="17" t="s">
        <v>463</v>
      </c>
      <c r="H15" s="18">
        <v>69.0</v>
      </c>
      <c r="I15" s="19">
        <v>45987.0</v>
      </c>
      <c r="J15" s="5" t="s">
        <v>461</v>
      </c>
    </row>
    <row r="16" ht="14.25" customHeight="1">
      <c r="A16" s="17" t="s">
        <v>456</v>
      </c>
      <c r="B16" s="17" t="s">
        <v>468</v>
      </c>
      <c r="C16" s="17" t="s">
        <v>462</v>
      </c>
      <c r="D16" s="18">
        <v>3.0</v>
      </c>
      <c r="E16" s="17" t="s">
        <v>174</v>
      </c>
      <c r="F16" s="17" t="s">
        <v>464</v>
      </c>
      <c r="G16" s="17" t="s">
        <v>469</v>
      </c>
      <c r="H16" s="18">
        <v>70.0</v>
      </c>
      <c r="I16" s="19">
        <v>45987.0</v>
      </c>
      <c r="J16" s="5" t="s">
        <v>461</v>
      </c>
    </row>
    <row r="17" ht="14.25" customHeight="1">
      <c r="A17" s="17" t="s">
        <v>456</v>
      </c>
      <c r="B17" s="17" t="s">
        <v>468</v>
      </c>
      <c r="C17" s="17" t="s">
        <v>462</v>
      </c>
      <c r="D17" s="18">
        <v>3.0</v>
      </c>
      <c r="E17" s="17" t="s">
        <v>178</v>
      </c>
      <c r="F17" s="17" t="s">
        <v>464</v>
      </c>
      <c r="G17" s="17" t="s">
        <v>463</v>
      </c>
      <c r="H17" s="18">
        <v>80.0</v>
      </c>
      <c r="I17" s="19">
        <v>45987.0</v>
      </c>
      <c r="J17" s="5" t="s">
        <v>461</v>
      </c>
    </row>
    <row r="18" ht="14.25" customHeight="1">
      <c r="A18" s="17" t="s">
        <v>456</v>
      </c>
      <c r="B18" s="17" t="s">
        <v>468</v>
      </c>
      <c r="C18" s="17" t="s">
        <v>462</v>
      </c>
      <c r="D18" s="18">
        <v>3.0</v>
      </c>
      <c r="E18" s="17" t="s">
        <v>180</v>
      </c>
      <c r="F18" s="17" t="s">
        <v>470</v>
      </c>
      <c r="G18" s="17" t="s">
        <v>469</v>
      </c>
      <c r="H18" s="18">
        <v>77.0</v>
      </c>
      <c r="I18" s="19">
        <v>45987.0</v>
      </c>
      <c r="J18" s="5" t="s">
        <v>461</v>
      </c>
    </row>
    <row r="19" ht="14.25" customHeight="1">
      <c r="A19" s="17" t="s">
        <v>456</v>
      </c>
      <c r="B19" s="17" t="s">
        <v>468</v>
      </c>
      <c r="C19" s="17" t="s">
        <v>462</v>
      </c>
      <c r="D19" s="18">
        <v>3.0</v>
      </c>
      <c r="E19" s="17" t="s">
        <v>180</v>
      </c>
      <c r="F19" s="17" t="s">
        <v>470</v>
      </c>
      <c r="G19" s="17" t="s">
        <v>465</v>
      </c>
      <c r="H19" s="18">
        <v>40.0</v>
      </c>
      <c r="I19" s="19">
        <v>45987.0</v>
      </c>
      <c r="J19" s="5" t="s">
        <v>461</v>
      </c>
    </row>
    <row r="20" ht="14.25" customHeight="1">
      <c r="A20" s="17" t="s">
        <v>456</v>
      </c>
      <c r="B20" s="17" t="s">
        <v>468</v>
      </c>
      <c r="C20" s="17" t="s">
        <v>462</v>
      </c>
      <c r="D20" s="18">
        <v>3.0</v>
      </c>
      <c r="E20" s="17" t="s">
        <v>180</v>
      </c>
      <c r="F20" s="17" t="s">
        <v>470</v>
      </c>
      <c r="G20" s="17" t="s">
        <v>466</v>
      </c>
      <c r="H20" s="18">
        <v>21.0</v>
      </c>
      <c r="I20" s="19">
        <v>45987.0</v>
      </c>
      <c r="J20" s="5" t="s">
        <v>461</v>
      </c>
    </row>
    <row r="21" ht="14.25" customHeight="1">
      <c r="A21" s="17" t="s">
        <v>456</v>
      </c>
      <c r="B21" s="17" t="s">
        <v>468</v>
      </c>
      <c r="C21" s="17" t="s">
        <v>462</v>
      </c>
      <c r="D21" s="18">
        <v>4.0</v>
      </c>
      <c r="E21" s="17" t="s">
        <v>180</v>
      </c>
      <c r="F21" s="17" t="s">
        <v>470</v>
      </c>
      <c r="G21" s="17" t="s">
        <v>466</v>
      </c>
      <c r="H21" s="18">
        <v>60.0</v>
      </c>
      <c r="I21" s="19">
        <v>45987.0</v>
      </c>
      <c r="J21" s="5" t="s">
        <v>461</v>
      </c>
    </row>
    <row r="22" ht="14.25" customHeight="1">
      <c r="A22" s="17" t="s">
        <v>456</v>
      </c>
      <c r="B22" s="17" t="s">
        <v>468</v>
      </c>
      <c r="C22" s="17" t="s">
        <v>462</v>
      </c>
      <c r="D22" s="18">
        <v>4.0</v>
      </c>
      <c r="E22" s="17" t="s">
        <v>167</v>
      </c>
      <c r="F22" s="17" t="s">
        <v>471</v>
      </c>
      <c r="G22" s="17" t="s">
        <v>466</v>
      </c>
      <c r="H22" s="18">
        <v>47.0</v>
      </c>
      <c r="I22" s="19">
        <v>45987.0</v>
      </c>
      <c r="J22" s="5" t="s">
        <v>461</v>
      </c>
    </row>
    <row r="23" ht="14.25" customHeight="1">
      <c r="A23" s="17" t="s">
        <v>456</v>
      </c>
      <c r="B23" s="17" t="s">
        <v>468</v>
      </c>
      <c r="C23" s="17" t="s">
        <v>462</v>
      </c>
      <c r="D23" s="18">
        <v>4.0</v>
      </c>
      <c r="E23" s="17" t="s">
        <v>167</v>
      </c>
      <c r="F23" s="17" t="s">
        <v>471</v>
      </c>
      <c r="G23" s="17" t="s">
        <v>465</v>
      </c>
      <c r="H23" s="18">
        <v>47.0</v>
      </c>
      <c r="I23" s="19">
        <v>45987.0</v>
      </c>
      <c r="J23" s="5" t="s">
        <v>461</v>
      </c>
    </row>
    <row r="24" ht="14.25" customHeight="1">
      <c r="A24" s="17" t="s">
        <v>456</v>
      </c>
      <c r="B24" s="17" t="s">
        <v>468</v>
      </c>
      <c r="C24" s="17" t="s">
        <v>462</v>
      </c>
      <c r="D24" s="18">
        <v>4.0</v>
      </c>
      <c r="E24" s="17" t="s">
        <v>167</v>
      </c>
      <c r="F24" s="17" t="s">
        <v>471</v>
      </c>
      <c r="G24" s="17" t="s">
        <v>463</v>
      </c>
      <c r="H24" s="18">
        <v>48.0</v>
      </c>
      <c r="I24" s="19">
        <v>45987.0</v>
      </c>
      <c r="J24" s="5" t="s">
        <v>461</v>
      </c>
    </row>
    <row r="25" ht="14.25" customHeight="1">
      <c r="A25" s="17" t="s">
        <v>456</v>
      </c>
      <c r="B25" s="17" t="s">
        <v>468</v>
      </c>
      <c r="C25" s="17" t="s">
        <v>462</v>
      </c>
      <c r="D25" s="18">
        <v>4.0</v>
      </c>
      <c r="E25" s="17" t="s">
        <v>167</v>
      </c>
      <c r="F25" s="17" t="s">
        <v>471</v>
      </c>
      <c r="G25" s="17" t="s">
        <v>460</v>
      </c>
      <c r="H25" s="18">
        <v>46.0</v>
      </c>
      <c r="I25" s="19">
        <v>45987.0</v>
      </c>
      <c r="J25" s="5" t="s">
        <v>461</v>
      </c>
    </row>
    <row r="26" ht="14.25" customHeight="1">
      <c r="A26" s="17" t="s">
        <v>456</v>
      </c>
      <c r="B26" s="17" t="s">
        <v>468</v>
      </c>
      <c r="C26" s="17" t="s">
        <v>462</v>
      </c>
      <c r="D26" s="18">
        <v>4.0</v>
      </c>
      <c r="E26" s="17" t="s">
        <v>188</v>
      </c>
      <c r="F26" s="17" t="s">
        <v>464</v>
      </c>
      <c r="G26" s="17" t="s">
        <v>466</v>
      </c>
      <c r="H26" s="18">
        <v>30.0</v>
      </c>
      <c r="I26" s="19">
        <v>45987.0</v>
      </c>
      <c r="J26" s="5" t="s">
        <v>461</v>
      </c>
    </row>
    <row r="27" ht="14.25" customHeight="1">
      <c r="A27" s="17" t="s">
        <v>456</v>
      </c>
      <c r="B27" s="17" t="s">
        <v>468</v>
      </c>
      <c r="C27" s="17" t="s">
        <v>462</v>
      </c>
      <c r="D27" s="18">
        <v>5.0</v>
      </c>
      <c r="E27" s="17" t="s">
        <v>188</v>
      </c>
      <c r="F27" s="17" t="s">
        <v>464</v>
      </c>
      <c r="G27" s="17" t="s">
        <v>466</v>
      </c>
      <c r="H27" s="18">
        <v>120.0</v>
      </c>
      <c r="I27" s="19">
        <v>45987.0</v>
      </c>
      <c r="J27" s="5" t="s">
        <v>461</v>
      </c>
    </row>
    <row r="28" ht="14.25" customHeight="1">
      <c r="A28" s="17" t="s">
        <v>456</v>
      </c>
      <c r="B28" s="17" t="s">
        <v>468</v>
      </c>
      <c r="C28" s="17" t="s">
        <v>462</v>
      </c>
      <c r="D28" s="18">
        <v>5.0</v>
      </c>
      <c r="E28" s="17" t="s">
        <v>188</v>
      </c>
      <c r="F28" s="17" t="s">
        <v>464</v>
      </c>
      <c r="G28" s="17" t="s">
        <v>465</v>
      </c>
      <c r="H28" s="18">
        <v>57.0</v>
      </c>
      <c r="I28" s="19">
        <v>45987.0</v>
      </c>
      <c r="J28" s="5" t="s">
        <v>461</v>
      </c>
    </row>
    <row r="29" ht="14.25" customHeight="1">
      <c r="A29" s="17" t="s">
        <v>456</v>
      </c>
      <c r="B29" s="17" t="s">
        <v>468</v>
      </c>
      <c r="C29" s="17" t="s">
        <v>462</v>
      </c>
      <c r="D29" s="18">
        <v>5.0</v>
      </c>
      <c r="E29" s="17" t="s">
        <v>191</v>
      </c>
      <c r="F29" s="17" t="s">
        <v>464</v>
      </c>
      <c r="G29" s="17" t="s">
        <v>466</v>
      </c>
      <c r="H29" s="18">
        <v>28.0</v>
      </c>
      <c r="I29" s="19">
        <v>45987.0</v>
      </c>
      <c r="J29" s="5" t="s">
        <v>461</v>
      </c>
    </row>
    <row r="30" ht="14.25" customHeight="1">
      <c r="A30" s="17" t="s">
        <v>456</v>
      </c>
      <c r="B30" s="17" t="s">
        <v>468</v>
      </c>
      <c r="C30" s="17" t="s">
        <v>462</v>
      </c>
      <c r="D30" s="18">
        <v>5.0</v>
      </c>
      <c r="E30" s="17" t="s">
        <v>191</v>
      </c>
      <c r="F30" s="17" t="s">
        <v>464</v>
      </c>
      <c r="G30" s="17" t="s">
        <v>465</v>
      </c>
      <c r="H30" s="18">
        <v>26.0</v>
      </c>
      <c r="I30" s="19">
        <v>45987.0</v>
      </c>
      <c r="J30" s="5" t="s">
        <v>461</v>
      </c>
    </row>
    <row r="31" ht="14.25" customHeight="1">
      <c r="A31" s="17" t="s">
        <v>456</v>
      </c>
      <c r="B31" s="17" t="s">
        <v>468</v>
      </c>
      <c r="C31" s="17" t="s">
        <v>462</v>
      </c>
      <c r="D31" s="18">
        <v>5.0</v>
      </c>
      <c r="E31" s="17" t="s">
        <v>191</v>
      </c>
      <c r="F31" s="17" t="s">
        <v>464</v>
      </c>
      <c r="G31" s="17" t="s">
        <v>469</v>
      </c>
      <c r="H31" s="18">
        <v>33.0</v>
      </c>
      <c r="I31" s="19">
        <v>45987.0</v>
      </c>
      <c r="J31" s="5" t="s">
        <v>461</v>
      </c>
    </row>
    <row r="32" ht="14.25" customHeight="1">
      <c r="A32" s="17" t="s">
        <v>456</v>
      </c>
      <c r="B32" s="17" t="s">
        <v>468</v>
      </c>
      <c r="C32" s="17" t="s">
        <v>462</v>
      </c>
      <c r="D32" s="18">
        <v>6.0</v>
      </c>
      <c r="E32" s="17" t="s">
        <v>191</v>
      </c>
      <c r="F32" s="17" t="s">
        <v>464</v>
      </c>
      <c r="G32" s="17" t="s">
        <v>469</v>
      </c>
      <c r="H32" s="18">
        <v>50.0</v>
      </c>
      <c r="I32" s="19">
        <v>45987.0</v>
      </c>
      <c r="J32" s="5" t="s">
        <v>461</v>
      </c>
    </row>
    <row r="33" ht="14.25" customHeight="1">
      <c r="A33" s="17" t="s">
        <v>456</v>
      </c>
      <c r="B33" s="17" t="s">
        <v>468</v>
      </c>
      <c r="C33" s="17" t="s">
        <v>462</v>
      </c>
      <c r="D33" s="18">
        <v>6.0</v>
      </c>
      <c r="E33" s="17" t="s">
        <v>167</v>
      </c>
      <c r="F33" s="17" t="s">
        <v>467</v>
      </c>
      <c r="G33" s="17" t="s">
        <v>460</v>
      </c>
      <c r="H33" s="18">
        <v>270.0</v>
      </c>
      <c r="I33" s="19">
        <v>45987.0</v>
      </c>
      <c r="J33" s="5" t="s">
        <v>461</v>
      </c>
    </row>
    <row r="34" ht="14.25" customHeight="1">
      <c r="A34" s="17" t="s">
        <v>456</v>
      </c>
      <c r="B34" s="17" t="s">
        <v>468</v>
      </c>
      <c r="C34" s="17" t="s">
        <v>462</v>
      </c>
      <c r="D34" s="18">
        <v>7.0</v>
      </c>
      <c r="E34" s="17" t="s">
        <v>167</v>
      </c>
      <c r="F34" s="17" t="s">
        <v>467</v>
      </c>
      <c r="G34" s="17" t="s">
        <v>469</v>
      </c>
      <c r="H34" s="18">
        <v>280.0</v>
      </c>
      <c r="I34" s="19">
        <v>45987.0</v>
      </c>
      <c r="J34" s="5" t="s">
        <v>461</v>
      </c>
    </row>
    <row r="35" ht="14.25" customHeight="1">
      <c r="A35" s="17" t="s">
        <v>456</v>
      </c>
      <c r="B35" s="17" t="s">
        <v>468</v>
      </c>
      <c r="C35" s="17" t="s">
        <v>462</v>
      </c>
      <c r="D35" s="18">
        <v>8.0</v>
      </c>
      <c r="E35" s="17" t="s">
        <v>167</v>
      </c>
      <c r="F35" s="17" t="s">
        <v>467</v>
      </c>
      <c r="G35" s="17" t="s">
        <v>469</v>
      </c>
      <c r="H35" s="18">
        <v>230.0</v>
      </c>
      <c r="I35" s="19">
        <v>45987.0</v>
      </c>
      <c r="J35" s="5" t="s">
        <v>461</v>
      </c>
    </row>
    <row r="36" ht="14.25" customHeight="1">
      <c r="A36" s="17" t="s">
        <v>456</v>
      </c>
      <c r="B36" s="17" t="s">
        <v>468</v>
      </c>
      <c r="C36" s="17" t="s">
        <v>462</v>
      </c>
      <c r="D36" s="18">
        <v>8.0</v>
      </c>
      <c r="E36" s="17" t="s">
        <v>167</v>
      </c>
      <c r="F36" s="17" t="s">
        <v>467</v>
      </c>
      <c r="G36" s="17" t="s">
        <v>465</v>
      </c>
      <c r="H36" s="18">
        <v>50.0</v>
      </c>
      <c r="I36" s="19">
        <v>45987.0</v>
      </c>
      <c r="J36" s="5" t="s">
        <v>461</v>
      </c>
    </row>
    <row r="37" ht="14.25" customHeight="1">
      <c r="A37" s="17" t="s">
        <v>456</v>
      </c>
      <c r="B37" s="17" t="s">
        <v>468</v>
      </c>
      <c r="C37" s="17" t="s">
        <v>462</v>
      </c>
      <c r="D37" s="18">
        <v>9.0</v>
      </c>
      <c r="E37" s="17" t="s">
        <v>167</v>
      </c>
      <c r="F37" s="17" t="s">
        <v>467</v>
      </c>
      <c r="G37" s="17" t="s">
        <v>465</v>
      </c>
      <c r="H37" s="18">
        <v>150.0</v>
      </c>
      <c r="I37" s="19">
        <v>45987.0</v>
      </c>
      <c r="J37" s="5" t="s">
        <v>461</v>
      </c>
    </row>
    <row r="38" ht="14.25" customHeight="1">
      <c r="A38" s="17" t="s">
        <v>456</v>
      </c>
      <c r="B38" s="17" t="s">
        <v>468</v>
      </c>
      <c r="C38" s="17" t="s">
        <v>462</v>
      </c>
      <c r="D38" s="18">
        <v>9.0</v>
      </c>
      <c r="E38" s="17" t="s">
        <v>167</v>
      </c>
      <c r="F38" s="17" t="s">
        <v>467</v>
      </c>
      <c r="G38" s="17" t="s">
        <v>466</v>
      </c>
      <c r="H38" s="18">
        <v>130.0</v>
      </c>
      <c r="I38" s="19">
        <v>45987.0</v>
      </c>
      <c r="J38" s="5" t="s">
        <v>461</v>
      </c>
    </row>
    <row r="39" ht="14.25" customHeight="1">
      <c r="A39" s="17" t="s">
        <v>456</v>
      </c>
      <c r="B39" s="17" t="s">
        <v>468</v>
      </c>
      <c r="C39" s="17" t="s">
        <v>462</v>
      </c>
      <c r="D39" s="18">
        <v>10.0</v>
      </c>
      <c r="E39" s="17" t="s">
        <v>167</v>
      </c>
      <c r="F39" s="17" t="s">
        <v>467</v>
      </c>
      <c r="G39" s="17" t="s">
        <v>466</v>
      </c>
      <c r="H39" s="18">
        <v>290.0</v>
      </c>
      <c r="I39" s="19">
        <v>45987.0</v>
      </c>
      <c r="J39" s="5" t="s">
        <v>461</v>
      </c>
    </row>
    <row r="40" ht="14.25" customHeight="1">
      <c r="A40" s="17" t="s">
        <v>456</v>
      </c>
      <c r="B40" s="17" t="s">
        <v>468</v>
      </c>
      <c r="C40" s="17" t="s">
        <v>462</v>
      </c>
      <c r="D40" s="18">
        <v>11.0</v>
      </c>
      <c r="E40" s="17" t="s">
        <v>178</v>
      </c>
      <c r="F40" s="17" t="s">
        <v>472</v>
      </c>
      <c r="G40" s="17" t="s">
        <v>469</v>
      </c>
      <c r="H40" s="18">
        <v>89.0</v>
      </c>
      <c r="I40" s="19">
        <v>45987.0</v>
      </c>
      <c r="J40" s="5" t="s">
        <v>461</v>
      </c>
    </row>
    <row r="41" ht="14.25" customHeight="1">
      <c r="A41" s="17" t="s">
        <v>456</v>
      </c>
      <c r="B41" s="17" t="s">
        <v>468</v>
      </c>
      <c r="C41" s="17" t="s">
        <v>462</v>
      </c>
      <c r="D41" s="18">
        <v>11.0</v>
      </c>
      <c r="E41" s="17" t="s">
        <v>188</v>
      </c>
      <c r="F41" s="17" t="s">
        <v>464</v>
      </c>
      <c r="G41" s="17" t="s">
        <v>465</v>
      </c>
      <c r="H41" s="18">
        <v>30.0</v>
      </c>
      <c r="I41" s="19">
        <v>45987.0</v>
      </c>
      <c r="J41" s="5" t="s">
        <v>461</v>
      </c>
    </row>
    <row r="42" ht="14.25" customHeight="1">
      <c r="A42" s="17" t="s">
        <v>456</v>
      </c>
      <c r="B42" s="17" t="s">
        <v>468</v>
      </c>
      <c r="C42" s="17" t="s">
        <v>462</v>
      </c>
      <c r="D42" s="18">
        <v>11.0</v>
      </c>
      <c r="E42" s="17" t="s">
        <v>167</v>
      </c>
      <c r="F42" s="17" t="s">
        <v>467</v>
      </c>
      <c r="G42" s="17" t="s">
        <v>463</v>
      </c>
      <c r="H42" s="18">
        <v>190.0</v>
      </c>
      <c r="I42" s="19">
        <v>45987.0</v>
      </c>
      <c r="J42" s="5" t="s">
        <v>461</v>
      </c>
    </row>
    <row r="43" ht="14.25" customHeight="1">
      <c r="A43" s="17" t="s">
        <v>456</v>
      </c>
      <c r="B43" s="17" t="s">
        <v>468</v>
      </c>
      <c r="C43" s="17" t="s">
        <v>462</v>
      </c>
      <c r="D43" s="18">
        <v>11.0</v>
      </c>
      <c r="E43" s="17" t="s">
        <v>167</v>
      </c>
      <c r="F43" s="17" t="s">
        <v>473</v>
      </c>
      <c r="G43" s="17" t="s">
        <v>463</v>
      </c>
      <c r="H43" s="18">
        <v>190.0</v>
      </c>
      <c r="I43" s="19">
        <v>45987.0</v>
      </c>
      <c r="J43" s="5" t="s">
        <v>461</v>
      </c>
    </row>
    <row r="44" ht="14.25" customHeight="1">
      <c r="A44" s="17" t="s">
        <v>474</v>
      </c>
      <c r="B44" s="5" t="s">
        <v>457</v>
      </c>
      <c r="C44" s="5" t="s">
        <v>458</v>
      </c>
      <c r="D44" s="20">
        <v>1.0</v>
      </c>
      <c r="E44" s="5" t="s">
        <v>161</v>
      </c>
      <c r="F44" s="5" t="s">
        <v>459</v>
      </c>
      <c r="G44" s="5" t="s">
        <v>460</v>
      </c>
      <c r="H44" s="20">
        <v>53.0</v>
      </c>
      <c r="I44" s="21">
        <v>45987.0</v>
      </c>
      <c r="J44" s="5" t="s">
        <v>461</v>
      </c>
    </row>
    <row r="45" ht="14.25" customHeight="1">
      <c r="A45" s="17" t="s">
        <v>474</v>
      </c>
      <c r="B45" s="5" t="s">
        <v>457</v>
      </c>
      <c r="C45" s="5" t="s">
        <v>462</v>
      </c>
      <c r="D45" s="20">
        <v>1.0</v>
      </c>
      <c r="E45" s="5" t="s">
        <v>161</v>
      </c>
      <c r="F45" s="5" t="s">
        <v>459</v>
      </c>
      <c r="G45" s="5" t="s">
        <v>463</v>
      </c>
      <c r="H45" s="20">
        <v>99.0</v>
      </c>
      <c r="I45" s="21">
        <v>45987.0</v>
      </c>
      <c r="J45" s="5" t="s">
        <v>461</v>
      </c>
    </row>
    <row r="46" ht="14.25" customHeight="1">
      <c r="A46" s="17" t="s">
        <v>474</v>
      </c>
      <c r="B46" s="5" t="s">
        <v>457</v>
      </c>
      <c r="C46" s="5" t="s">
        <v>462</v>
      </c>
      <c r="D46" s="20">
        <v>1.0</v>
      </c>
      <c r="E46" s="5" t="s">
        <v>161</v>
      </c>
      <c r="F46" s="5" t="s">
        <v>464</v>
      </c>
      <c r="G46" s="5" t="s">
        <v>463</v>
      </c>
      <c r="H46" s="20">
        <v>68.0</v>
      </c>
      <c r="I46" s="21">
        <v>45987.0</v>
      </c>
      <c r="J46" s="5" t="s">
        <v>461</v>
      </c>
    </row>
    <row r="47" ht="14.25" customHeight="1">
      <c r="A47" s="17" t="s">
        <v>474</v>
      </c>
      <c r="B47" s="5" t="s">
        <v>457</v>
      </c>
      <c r="C47" s="5" t="s">
        <v>462</v>
      </c>
      <c r="D47" s="20">
        <v>1.0</v>
      </c>
      <c r="E47" s="5" t="s">
        <v>161</v>
      </c>
      <c r="F47" s="5" t="s">
        <v>464</v>
      </c>
      <c r="G47" s="5" t="s">
        <v>465</v>
      </c>
      <c r="H47" s="20">
        <v>68.0</v>
      </c>
      <c r="I47" s="21">
        <v>45987.0</v>
      </c>
      <c r="J47" s="5" t="s">
        <v>461</v>
      </c>
    </row>
    <row r="48" ht="14.25" customHeight="1">
      <c r="A48" s="17" t="s">
        <v>474</v>
      </c>
      <c r="B48" s="5" t="s">
        <v>457</v>
      </c>
      <c r="C48" s="5" t="s">
        <v>462</v>
      </c>
      <c r="D48" s="20">
        <v>1.0</v>
      </c>
      <c r="E48" s="5" t="s">
        <v>161</v>
      </c>
      <c r="F48" s="5" t="s">
        <v>464</v>
      </c>
      <c r="G48" s="5" t="s">
        <v>466</v>
      </c>
      <c r="H48" s="20">
        <v>69.0</v>
      </c>
      <c r="I48" s="21">
        <v>45987.0</v>
      </c>
      <c r="J48" s="5" t="s">
        <v>461</v>
      </c>
    </row>
    <row r="49" ht="14.25" customHeight="1">
      <c r="A49" s="17" t="s">
        <v>474</v>
      </c>
      <c r="B49" s="5" t="s">
        <v>457</v>
      </c>
      <c r="C49" s="5" t="s">
        <v>462</v>
      </c>
      <c r="D49" s="20">
        <v>2.0</v>
      </c>
      <c r="E49" s="5" t="s">
        <v>161</v>
      </c>
      <c r="F49" s="5" t="s">
        <v>464</v>
      </c>
      <c r="G49" s="5" t="s">
        <v>466</v>
      </c>
      <c r="H49" s="20">
        <v>50.0</v>
      </c>
      <c r="I49" s="21">
        <v>45987.0</v>
      </c>
      <c r="J49" s="5" t="s">
        <v>461</v>
      </c>
    </row>
    <row r="50" ht="14.25" customHeight="1">
      <c r="A50" s="17" t="s">
        <v>474</v>
      </c>
      <c r="B50" s="5" t="s">
        <v>457</v>
      </c>
      <c r="C50" s="5" t="s">
        <v>462</v>
      </c>
      <c r="D50" s="20">
        <v>2.0</v>
      </c>
      <c r="E50" s="5" t="s">
        <v>167</v>
      </c>
      <c r="F50" s="5" t="s">
        <v>467</v>
      </c>
      <c r="G50" s="5" t="s">
        <v>463</v>
      </c>
      <c r="H50" s="20">
        <v>272.0</v>
      </c>
      <c r="I50" s="21">
        <v>45987.0</v>
      </c>
      <c r="J50" s="5" t="s">
        <v>461</v>
      </c>
    </row>
    <row r="51" ht="14.25" customHeight="1">
      <c r="A51" s="17" t="s">
        <v>474</v>
      </c>
      <c r="B51" s="5" t="s">
        <v>468</v>
      </c>
      <c r="C51" s="5" t="s">
        <v>462</v>
      </c>
      <c r="D51" s="20">
        <v>1.0</v>
      </c>
      <c r="E51" s="5" t="s">
        <v>161</v>
      </c>
      <c r="F51" s="5" t="s">
        <v>459</v>
      </c>
      <c r="G51" s="5" t="s">
        <v>466</v>
      </c>
      <c r="H51" s="20">
        <v>92.0</v>
      </c>
      <c r="I51" s="21">
        <v>45987.0</v>
      </c>
      <c r="J51" s="5" t="s">
        <v>461</v>
      </c>
    </row>
    <row r="52" ht="14.25" customHeight="1">
      <c r="A52" s="17" t="s">
        <v>474</v>
      </c>
      <c r="B52" s="5" t="s">
        <v>468</v>
      </c>
      <c r="C52" s="5" t="s">
        <v>462</v>
      </c>
      <c r="D52" s="20">
        <v>1.0</v>
      </c>
      <c r="E52" s="5" t="s">
        <v>170</v>
      </c>
      <c r="F52" s="5" t="s">
        <v>464</v>
      </c>
      <c r="G52" s="5" t="s">
        <v>460</v>
      </c>
      <c r="H52" s="20">
        <v>98.0</v>
      </c>
      <c r="I52" s="21">
        <v>45987.0</v>
      </c>
      <c r="J52" s="5" t="s">
        <v>461</v>
      </c>
    </row>
    <row r="53" ht="14.25" customHeight="1">
      <c r="A53" s="17" t="s">
        <v>474</v>
      </c>
      <c r="B53" s="5" t="s">
        <v>468</v>
      </c>
      <c r="C53" s="5" t="s">
        <v>462</v>
      </c>
      <c r="D53" s="20">
        <v>1.0</v>
      </c>
      <c r="E53" s="5" t="s">
        <v>170</v>
      </c>
      <c r="F53" s="5" t="s">
        <v>464</v>
      </c>
      <c r="G53" s="5" t="s">
        <v>463</v>
      </c>
      <c r="H53" s="20">
        <v>100.0</v>
      </c>
      <c r="I53" s="21">
        <v>45987.0</v>
      </c>
      <c r="J53" s="5" t="s">
        <v>461</v>
      </c>
    </row>
    <row r="54" ht="14.25" customHeight="1">
      <c r="A54" s="17" t="s">
        <v>474</v>
      </c>
      <c r="B54" s="5" t="s">
        <v>468</v>
      </c>
      <c r="C54" s="5" t="s">
        <v>462</v>
      </c>
      <c r="D54" s="20">
        <v>1.0</v>
      </c>
      <c r="E54" s="5" t="s">
        <v>170</v>
      </c>
      <c r="F54" s="5" t="s">
        <v>464</v>
      </c>
      <c r="G54" s="5" t="s">
        <v>465</v>
      </c>
      <c r="H54" s="20">
        <v>10.0</v>
      </c>
      <c r="I54" s="21">
        <v>45987.0</v>
      </c>
      <c r="J54" s="5" t="s">
        <v>461</v>
      </c>
    </row>
    <row r="55" ht="14.25" customHeight="1">
      <c r="A55" s="17" t="s">
        <v>474</v>
      </c>
      <c r="B55" s="5" t="s">
        <v>468</v>
      </c>
      <c r="C55" s="5" t="s">
        <v>462</v>
      </c>
      <c r="D55" s="20">
        <v>2.0</v>
      </c>
      <c r="E55" s="5" t="s">
        <v>170</v>
      </c>
      <c r="F55" s="5" t="s">
        <v>464</v>
      </c>
      <c r="G55" s="5" t="s">
        <v>465</v>
      </c>
      <c r="H55" s="20">
        <v>140.0</v>
      </c>
      <c r="I55" s="21">
        <v>45987.0</v>
      </c>
      <c r="J55" s="5" t="s">
        <v>461</v>
      </c>
    </row>
    <row r="56" ht="14.25" customHeight="1">
      <c r="A56" s="17" t="s">
        <v>474</v>
      </c>
      <c r="B56" s="5" t="s">
        <v>468</v>
      </c>
      <c r="C56" s="5" t="s">
        <v>462</v>
      </c>
      <c r="D56" s="20">
        <v>2.0</v>
      </c>
      <c r="E56" s="5" t="s">
        <v>174</v>
      </c>
      <c r="F56" s="5" t="s">
        <v>464</v>
      </c>
      <c r="G56" s="5" t="s">
        <v>460</v>
      </c>
      <c r="H56" s="20">
        <v>65.0</v>
      </c>
      <c r="I56" s="21">
        <v>45987.0</v>
      </c>
      <c r="J56" s="5" t="s">
        <v>461</v>
      </c>
    </row>
    <row r="57" ht="14.25" customHeight="1">
      <c r="A57" s="17" t="s">
        <v>474</v>
      </c>
      <c r="B57" s="5" t="s">
        <v>468</v>
      </c>
      <c r="C57" s="5" t="s">
        <v>462</v>
      </c>
      <c r="D57" s="20">
        <v>2.0</v>
      </c>
      <c r="E57" s="5" t="s">
        <v>174</v>
      </c>
      <c r="F57" s="5" t="s">
        <v>464</v>
      </c>
      <c r="G57" s="5" t="s">
        <v>463</v>
      </c>
      <c r="H57" s="20">
        <v>69.0</v>
      </c>
      <c r="I57" s="21">
        <v>45987.0</v>
      </c>
      <c r="J57" s="5" t="s">
        <v>461</v>
      </c>
    </row>
    <row r="58" ht="14.25" customHeight="1">
      <c r="A58" s="17" t="s">
        <v>474</v>
      </c>
      <c r="B58" s="5" t="s">
        <v>468</v>
      </c>
      <c r="C58" s="5" t="s">
        <v>462</v>
      </c>
      <c r="D58" s="20">
        <v>3.0</v>
      </c>
      <c r="E58" s="5" t="s">
        <v>174</v>
      </c>
      <c r="F58" s="5" t="s">
        <v>464</v>
      </c>
      <c r="G58" s="5" t="s">
        <v>469</v>
      </c>
      <c r="H58" s="20">
        <v>70.0</v>
      </c>
      <c r="I58" s="21">
        <v>45987.0</v>
      </c>
      <c r="J58" s="5" t="s">
        <v>461</v>
      </c>
    </row>
    <row r="59" ht="14.25" customHeight="1">
      <c r="A59" s="17" t="s">
        <v>474</v>
      </c>
      <c r="B59" s="5" t="s">
        <v>468</v>
      </c>
      <c r="C59" s="5" t="s">
        <v>462</v>
      </c>
      <c r="D59" s="20">
        <v>3.0</v>
      </c>
      <c r="E59" s="5" t="s">
        <v>178</v>
      </c>
      <c r="F59" s="5" t="s">
        <v>464</v>
      </c>
      <c r="G59" s="5" t="s">
        <v>463</v>
      </c>
      <c r="H59" s="20">
        <v>80.0</v>
      </c>
      <c r="I59" s="21">
        <v>45987.0</v>
      </c>
      <c r="J59" s="5" t="s">
        <v>461</v>
      </c>
    </row>
    <row r="60" ht="14.25" customHeight="1">
      <c r="A60" s="17" t="s">
        <v>474</v>
      </c>
      <c r="B60" s="5" t="s">
        <v>468</v>
      </c>
      <c r="C60" s="5" t="s">
        <v>462</v>
      </c>
      <c r="D60" s="20">
        <v>3.0</v>
      </c>
      <c r="E60" s="5" t="s">
        <v>180</v>
      </c>
      <c r="F60" s="5" t="s">
        <v>470</v>
      </c>
      <c r="G60" s="5" t="s">
        <v>469</v>
      </c>
      <c r="H60" s="20">
        <v>77.0</v>
      </c>
      <c r="I60" s="21">
        <v>45987.0</v>
      </c>
      <c r="J60" s="5" t="s">
        <v>461</v>
      </c>
    </row>
    <row r="61" ht="14.25" customHeight="1">
      <c r="A61" s="17" t="s">
        <v>474</v>
      </c>
      <c r="B61" s="5" t="s">
        <v>468</v>
      </c>
      <c r="C61" s="5" t="s">
        <v>462</v>
      </c>
      <c r="D61" s="20">
        <v>3.0</v>
      </c>
      <c r="E61" s="5" t="s">
        <v>180</v>
      </c>
      <c r="F61" s="5" t="s">
        <v>470</v>
      </c>
      <c r="G61" s="5" t="s">
        <v>465</v>
      </c>
      <c r="H61" s="20">
        <v>40.0</v>
      </c>
      <c r="I61" s="21">
        <v>45987.0</v>
      </c>
      <c r="J61" s="5" t="s">
        <v>461</v>
      </c>
    </row>
    <row r="62" ht="14.25" customHeight="1">
      <c r="A62" s="17" t="s">
        <v>474</v>
      </c>
      <c r="B62" s="5" t="s">
        <v>468</v>
      </c>
      <c r="C62" s="5" t="s">
        <v>462</v>
      </c>
      <c r="D62" s="20">
        <v>3.0</v>
      </c>
      <c r="E62" s="5" t="s">
        <v>180</v>
      </c>
      <c r="F62" s="5" t="s">
        <v>470</v>
      </c>
      <c r="G62" s="5" t="s">
        <v>466</v>
      </c>
      <c r="H62" s="20">
        <v>21.0</v>
      </c>
      <c r="I62" s="21">
        <v>45987.0</v>
      </c>
      <c r="J62" s="5" t="s">
        <v>461</v>
      </c>
    </row>
    <row r="63" ht="14.25" customHeight="1">
      <c r="A63" s="17" t="s">
        <v>474</v>
      </c>
      <c r="B63" s="5" t="s">
        <v>468</v>
      </c>
      <c r="C63" s="5" t="s">
        <v>462</v>
      </c>
      <c r="D63" s="20">
        <v>4.0</v>
      </c>
      <c r="E63" s="5" t="s">
        <v>180</v>
      </c>
      <c r="F63" s="5" t="s">
        <v>470</v>
      </c>
      <c r="G63" s="5" t="s">
        <v>466</v>
      </c>
      <c r="H63" s="20">
        <v>60.0</v>
      </c>
      <c r="I63" s="21">
        <v>45987.0</v>
      </c>
      <c r="J63" s="5" t="s">
        <v>461</v>
      </c>
    </row>
    <row r="64" ht="14.25" customHeight="1">
      <c r="A64" s="17" t="s">
        <v>474</v>
      </c>
      <c r="B64" s="5" t="s">
        <v>468</v>
      </c>
      <c r="C64" s="5" t="s">
        <v>462</v>
      </c>
      <c r="D64" s="20">
        <v>4.0</v>
      </c>
      <c r="E64" s="5" t="s">
        <v>167</v>
      </c>
      <c r="F64" s="5" t="s">
        <v>471</v>
      </c>
      <c r="G64" s="5" t="s">
        <v>466</v>
      </c>
      <c r="H64" s="20">
        <v>47.0</v>
      </c>
      <c r="I64" s="21">
        <v>45987.0</v>
      </c>
      <c r="J64" s="5" t="s">
        <v>461</v>
      </c>
    </row>
    <row r="65" ht="14.25" customHeight="1">
      <c r="A65" s="17" t="s">
        <v>474</v>
      </c>
      <c r="B65" s="5" t="s">
        <v>468</v>
      </c>
      <c r="C65" s="5" t="s">
        <v>462</v>
      </c>
      <c r="D65" s="20">
        <v>4.0</v>
      </c>
      <c r="E65" s="5" t="s">
        <v>167</v>
      </c>
      <c r="F65" s="5" t="s">
        <v>471</v>
      </c>
      <c r="G65" s="5" t="s">
        <v>465</v>
      </c>
      <c r="H65" s="20">
        <v>47.0</v>
      </c>
      <c r="I65" s="21">
        <v>45987.0</v>
      </c>
      <c r="J65" s="5" t="s">
        <v>461</v>
      </c>
    </row>
    <row r="66" ht="14.25" customHeight="1">
      <c r="A66" s="17" t="s">
        <v>474</v>
      </c>
      <c r="B66" s="5" t="s">
        <v>468</v>
      </c>
      <c r="C66" s="5" t="s">
        <v>462</v>
      </c>
      <c r="D66" s="20">
        <v>4.0</v>
      </c>
      <c r="E66" s="5" t="s">
        <v>167</v>
      </c>
      <c r="F66" s="5" t="s">
        <v>471</v>
      </c>
      <c r="G66" s="5" t="s">
        <v>463</v>
      </c>
      <c r="H66" s="20">
        <v>48.0</v>
      </c>
      <c r="I66" s="21">
        <v>45987.0</v>
      </c>
      <c r="J66" s="5" t="s">
        <v>461</v>
      </c>
    </row>
    <row r="67" ht="14.25" customHeight="1">
      <c r="A67" s="17" t="s">
        <v>474</v>
      </c>
      <c r="B67" s="5" t="s">
        <v>468</v>
      </c>
      <c r="C67" s="5" t="s">
        <v>462</v>
      </c>
      <c r="D67" s="20">
        <v>4.0</v>
      </c>
      <c r="E67" s="5" t="s">
        <v>167</v>
      </c>
      <c r="F67" s="5" t="s">
        <v>471</v>
      </c>
      <c r="G67" s="5" t="s">
        <v>460</v>
      </c>
      <c r="H67" s="20">
        <v>46.0</v>
      </c>
      <c r="I67" s="21">
        <v>45987.0</v>
      </c>
      <c r="J67" s="5" t="s">
        <v>461</v>
      </c>
    </row>
    <row r="68" ht="14.25" customHeight="1">
      <c r="A68" s="17" t="s">
        <v>474</v>
      </c>
      <c r="B68" s="5" t="s">
        <v>468</v>
      </c>
      <c r="C68" s="5" t="s">
        <v>462</v>
      </c>
      <c r="D68" s="20">
        <v>4.0</v>
      </c>
      <c r="E68" s="5" t="s">
        <v>188</v>
      </c>
      <c r="F68" s="5" t="s">
        <v>464</v>
      </c>
      <c r="G68" s="5" t="s">
        <v>466</v>
      </c>
      <c r="H68" s="20">
        <v>30.0</v>
      </c>
      <c r="I68" s="21">
        <v>45987.0</v>
      </c>
      <c r="J68" s="5" t="s">
        <v>461</v>
      </c>
    </row>
    <row r="69" ht="14.25" customHeight="1">
      <c r="A69" s="17" t="s">
        <v>474</v>
      </c>
      <c r="B69" s="5" t="s">
        <v>468</v>
      </c>
      <c r="C69" s="5" t="s">
        <v>462</v>
      </c>
      <c r="D69" s="20">
        <v>5.0</v>
      </c>
      <c r="E69" s="5" t="s">
        <v>188</v>
      </c>
      <c r="F69" s="5" t="s">
        <v>464</v>
      </c>
      <c r="G69" s="5" t="s">
        <v>466</v>
      </c>
      <c r="H69" s="20">
        <v>120.0</v>
      </c>
      <c r="I69" s="21">
        <v>45987.0</v>
      </c>
      <c r="J69" s="5" t="s">
        <v>461</v>
      </c>
    </row>
    <row r="70" ht="14.25" customHeight="1">
      <c r="A70" s="17" t="s">
        <v>474</v>
      </c>
      <c r="B70" s="5" t="s">
        <v>468</v>
      </c>
      <c r="C70" s="5" t="s">
        <v>462</v>
      </c>
      <c r="D70" s="20">
        <v>5.0</v>
      </c>
      <c r="E70" s="5" t="s">
        <v>188</v>
      </c>
      <c r="F70" s="5" t="s">
        <v>464</v>
      </c>
      <c r="G70" s="5" t="s">
        <v>465</v>
      </c>
      <c r="H70" s="20">
        <v>57.0</v>
      </c>
      <c r="I70" s="21">
        <v>45987.0</v>
      </c>
      <c r="J70" s="5" t="s">
        <v>461</v>
      </c>
    </row>
    <row r="71" ht="14.25" customHeight="1">
      <c r="A71" s="17" t="s">
        <v>474</v>
      </c>
      <c r="B71" s="5" t="s">
        <v>468</v>
      </c>
      <c r="C71" s="5" t="s">
        <v>462</v>
      </c>
      <c r="D71" s="20">
        <v>5.0</v>
      </c>
      <c r="E71" s="5" t="s">
        <v>191</v>
      </c>
      <c r="F71" s="5" t="s">
        <v>464</v>
      </c>
      <c r="G71" s="5" t="s">
        <v>466</v>
      </c>
      <c r="H71" s="20">
        <v>28.0</v>
      </c>
      <c r="I71" s="21">
        <v>45987.0</v>
      </c>
      <c r="J71" s="5" t="s">
        <v>461</v>
      </c>
    </row>
    <row r="72" ht="14.25" customHeight="1">
      <c r="A72" s="17" t="s">
        <v>474</v>
      </c>
      <c r="B72" s="5" t="s">
        <v>468</v>
      </c>
      <c r="C72" s="5" t="s">
        <v>462</v>
      </c>
      <c r="D72" s="20">
        <v>5.0</v>
      </c>
      <c r="E72" s="5" t="s">
        <v>191</v>
      </c>
      <c r="F72" s="5" t="s">
        <v>464</v>
      </c>
      <c r="G72" s="5" t="s">
        <v>465</v>
      </c>
      <c r="H72" s="20">
        <v>26.0</v>
      </c>
      <c r="I72" s="21">
        <v>45987.0</v>
      </c>
      <c r="J72" s="5" t="s">
        <v>461</v>
      </c>
    </row>
    <row r="73" ht="14.25" customHeight="1">
      <c r="A73" s="17" t="s">
        <v>474</v>
      </c>
      <c r="B73" s="5" t="s">
        <v>468</v>
      </c>
      <c r="C73" s="5" t="s">
        <v>462</v>
      </c>
      <c r="D73" s="20">
        <v>5.0</v>
      </c>
      <c r="E73" s="5" t="s">
        <v>191</v>
      </c>
      <c r="F73" s="5" t="s">
        <v>464</v>
      </c>
      <c r="G73" s="5" t="s">
        <v>469</v>
      </c>
      <c r="H73" s="20">
        <v>33.0</v>
      </c>
      <c r="I73" s="21">
        <v>45987.0</v>
      </c>
      <c r="J73" s="5" t="s">
        <v>461</v>
      </c>
    </row>
    <row r="74" ht="14.25" customHeight="1">
      <c r="A74" s="17" t="s">
        <v>474</v>
      </c>
      <c r="B74" s="5" t="s">
        <v>468</v>
      </c>
      <c r="C74" s="5" t="s">
        <v>462</v>
      </c>
      <c r="D74" s="20">
        <v>6.0</v>
      </c>
      <c r="E74" s="5" t="s">
        <v>191</v>
      </c>
      <c r="F74" s="5" t="s">
        <v>464</v>
      </c>
      <c r="G74" s="5" t="s">
        <v>469</v>
      </c>
      <c r="H74" s="20">
        <v>50.0</v>
      </c>
      <c r="I74" s="21">
        <v>45987.0</v>
      </c>
      <c r="J74" s="5" t="s">
        <v>461</v>
      </c>
    </row>
    <row r="75" ht="14.25" customHeight="1">
      <c r="A75" s="17" t="s">
        <v>474</v>
      </c>
      <c r="B75" s="5" t="s">
        <v>468</v>
      </c>
      <c r="C75" s="5" t="s">
        <v>462</v>
      </c>
      <c r="D75" s="20">
        <v>6.0</v>
      </c>
      <c r="E75" s="5" t="s">
        <v>167</v>
      </c>
      <c r="F75" s="5" t="s">
        <v>467</v>
      </c>
      <c r="G75" s="5" t="s">
        <v>460</v>
      </c>
      <c r="H75" s="20">
        <v>270.0</v>
      </c>
      <c r="I75" s="21">
        <v>45987.0</v>
      </c>
      <c r="J75" s="5" t="s">
        <v>461</v>
      </c>
    </row>
    <row r="76" ht="14.25" customHeight="1">
      <c r="A76" s="17" t="s">
        <v>474</v>
      </c>
      <c r="B76" s="5" t="s">
        <v>468</v>
      </c>
      <c r="C76" s="5" t="s">
        <v>462</v>
      </c>
      <c r="D76" s="20">
        <v>7.0</v>
      </c>
      <c r="E76" s="5" t="s">
        <v>167</v>
      </c>
      <c r="F76" s="5" t="s">
        <v>467</v>
      </c>
      <c r="G76" s="5" t="s">
        <v>469</v>
      </c>
      <c r="H76" s="20">
        <v>280.0</v>
      </c>
      <c r="I76" s="21">
        <v>45987.0</v>
      </c>
      <c r="J76" s="5" t="s">
        <v>461</v>
      </c>
    </row>
    <row r="77" ht="14.25" customHeight="1">
      <c r="A77" s="17" t="s">
        <v>474</v>
      </c>
      <c r="B77" s="5" t="s">
        <v>468</v>
      </c>
      <c r="C77" s="5" t="s">
        <v>462</v>
      </c>
      <c r="D77" s="20">
        <v>8.0</v>
      </c>
      <c r="E77" s="5" t="s">
        <v>167</v>
      </c>
      <c r="F77" s="5" t="s">
        <v>467</v>
      </c>
      <c r="G77" s="5" t="s">
        <v>469</v>
      </c>
      <c r="H77" s="20">
        <v>230.0</v>
      </c>
      <c r="I77" s="21">
        <v>45987.0</v>
      </c>
      <c r="J77" s="5" t="s">
        <v>461</v>
      </c>
    </row>
    <row r="78" ht="14.25" customHeight="1">
      <c r="A78" s="17" t="s">
        <v>474</v>
      </c>
      <c r="B78" s="5" t="s">
        <v>468</v>
      </c>
      <c r="C78" s="5" t="s">
        <v>462</v>
      </c>
      <c r="D78" s="20">
        <v>8.0</v>
      </c>
      <c r="E78" s="5" t="s">
        <v>167</v>
      </c>
      <c r="F78" s="5" t="s">
        <v>467</v>
      </c>
      <c r="G78" s="5" t="s">
        <v>465</v>
      </c>
      <c r="H78" s="20">
        <v>50.0</v>
      </c>
      <c r="I78" s="21">
        <v>45987.0</v>
      </c>
      <c r="J78" s="5" t="s">
        <v>461</v>
      </c>
    </row>
    <row r="79" ht="14.25" customHeight="1">
      <c r="A79" s="17" t="s">
        <v>474</v>
      </c>
      <c r="B79" s="5" t="s">
        <v>468</v>
      </c>
      <c r="C79" s="5" t="s">
        <v>462</v>
      </c>
      <c r="D79" s="20">
        <v>9.0</v>
      </c>
      <c r="E79" s="5" t="s">
        <v>167</v>
      </c>
      <c r="F79" s="5" t="s">
        <v>467</v>
      </c>
      <c r="G79" s="5" t="s">
        <v>465</v>
      </c>
      <c r="H79" s="20">
        <v>150.0</v>
      </c>
      <c r="I79" s="21">
        <v>45987.0</v>
      </c>
      <c r="J79" s="5" t="s">
        <v>461</v>
      </c>
    </row>
    <row r="80" ht="14.25" customHeight="1">
      <c r="A80" s="17" t="s">
        <v>474</v>
      </c>
      <c r="B80" s="5" t="s">
        <v>468</v>
      </c>
      <c r="C80" s="5" t="s">
        <v>462</v>
      </c>
      <c r="D80" s="20">
        <v>9.0</v>
      </c>
      <c r="E80" s="5" t="s">
        <v>167</v>
      </c>
      <c r="F80" s="5" t="s">
        <v>467</v>
      </c>
      <c r="G80" s="5" t="s">
        <v>466</v>
      </c>
      <c r="H80" s="20">
        <v>130.0</v>
      </c>
      <c r="I80" s="21">
        <v>45987.0</v>
      </c>
      <c r="J80" s="5" t="s">
        <v>461</v>
      </c>
    </row>
    <row r="81" ht="14.25" customHeight="1">
      <c r="A81" s="17" t="s">
        <v>474</v>
      </c>
      <c r="B81" s="5" t="s">
        <v>468</v>
      </c>
      <c r="C81" s="5" t="s">
        <v>462</v>
      </c>
      <c r="D81" s="20">
        <v>10.0</v>
      </c>
      <c r="E81" s="5" t="s">
        <v>167</v>
      </c>
      <c r="F81" s="5" t="s">
        <v>467</v>
      </c>
      <c r="G81" s="5" t="s">
        <v>466</v>
      </c>
      <c r="H81" s="20">
        <v>290.0</v>
      </c>
      <c r="I81" s="21">
        <v>45987.0</v>
      </c>
      <c r="J81" s="5" t="s">
        <v>461</v>
      </c>
    </row>
    <row r="82" ht="14.25" customHeight="1">
      <c r="A82" s="17" t="s">
        <v>474</v>
      </c>
      <c r="B82" s="5" t="s">
        <v>468</v>
      </c>
      <c r="C82" s="5" t="s">
        <v>462</v>
      </c>
      <c r="D82" s="20">
        <v>11.0</v>
      </c>
      <c r="E82" s="5" t="s">
        <v>178</v>
      </c>
      <c r="F82" s="5" t="s">
        <v>472</v>
      </c>
      <c r="G82" s="5" t="s">
        <v>469</v>
      </c>
      <c r="H82" s="20">
        <v>89.0</v>
      </c>
      <c r="I82" s="21">
        <v>45987.0</v>
      </c>
      <c r="J82" s="5" t="s">
        <v>461</v>
      </c>
    </row>
    <row r="83" ht="14.25" customHeight="1">
      <c r="A83" s="17" t="s">
        <v>474</v>
      </c>
      <c r="B83" s="5" t="s">
        <v>468</v>
      </c>
      <c r="C83" s="5" t="s">
        <v>462</v>
      </c>
      <c r="D83" s="20">
        <v>11.0</v>
      </c>
      <c r="E83" s="5" t="s">
        <v>188</v>
      </c>
      <c r="F83" s="5" t="s">
        <v>464</v>
      </c>
      <c r="G83" s="5" t="s">
        <v>465</v>
      </c>
      <c r="H83" s="20">
        <v>30.0</v>
      </c>
      <c r="I83" s="21">
        <v>45987.0</v>
      </c>
      <c r="J83" s="5" t="s">
        <v>461</v>
      </c>
    </row>
    <row r="84" ht="14.25" customHeight="1">
      <c r="A84" s="17" t="s">
        <v>474</v>
      </c>
      <c r="B84" s="5" t="s">
        <v>468</v>
      </c>
      <c r="C84" s="5" t="s">
        <v>462</v>
      </c>
      <c r="D84" s="20">
        <v>11.0</v>
      </c>
      <c r="E84" s="5" t="s">
        <v>167</v>
      </c>
      <c r="F84" s="5" t="s">
        <v>467</v>
      </c>
      <c r="G84" s="5" t="s">
        <v>463</v>
      </c>
      <c r="H84" s="20">
        <v>190.0</v>
      </c>
      <c r="I84" s="21">
        <v>45987.0</v>
      </c>
      <c r="J84" s="5" t="s">
        <v>461</v>
      </c>
    </row>
    <row r="85" ht="14.25" customHeight="1">
      <c r="A85" s="17" t="s">
        <v>474</v>
      </c>
      <c r="B85" s="5" t="s">
        <v>468</v>
      </c>
      <c r="C85" s="5" t="s">
        <v>462</v>
      </c>
      <c r="D85" s="20">
        <v>11.0</v>
      </c>
      <c r="E85" s="5" t="s">
        <v>167</v>
      </c>
      <c r="F85" s="5" t="s">
        <v>473</v>
      </c>
      <c r="G85" s="5" t="s">
        <v>463</v>
      </c>
      <c r="H85" s="20">
        <v>190.0</v>
      </c>
      <c r="I85" s="21">
        <v>45987.0</v>
      </c>
      <c r="J85" s="5" t="s">
        <v>461</v>
      </c>
    </row>
    <row r="86" ht="14.25" customHeight="1">
      <c r="A86" s="5" t="s">
        <v>475</v>
      </c>
      <c r="B86" s="5" t="s">
        <v>457</v>
      </c>
      <c r="C86" s="5" t="s">
        <v>458</v>
      </c>
      <c r="D86" s="20">
        <v>1.0</v>
      </c>
      <c r="E86" s="5" t="s">
        <v>161</v>
      </c>
      <c r="F86" s="5" t="s">
        <v>459</v>
      </c>
      <c r="G86" s="5" t="s">
        <v>460</v>
      </c>
      <c r="H86" s="20">
        <v>53.0</v>
      </c>
      <c r="I86" s="21">
        <v>45987.0</v>
      </c>
      <c r="J86" s="5" t="s">
        <v>461</v>
      </c>
    </row>
    <row r="87" ht="14.25" customHeight="1">
      <c r="A87" s="5" t="s">
        <v>475</v>
      </c>
      <c r="B87" s="5" t="s">
        <v>457</v>
      </c>
      <c r="C87" s="5" t="s">
        <v>462</v>
      </c>
      <c r="D87" s="20">
        <v>1.0</v>
      </c>
      <c r="E87" s="5" t="s">
        <v>161</v>
      </c>
      <c r="F87" s="5" t="s">
        <v>459</v>
      </c>
      <c r="G87" s="5" t="s">
        <v>463</v>
      </c>
      <c r="H87" s="20">
        <v>99.0</v>
      </c>
      <c r="I87" s="21">
        <v>45987.0</v>
      </c>
      <c r="J87" s="5" t="s">
        <v>461</v>
      </c>
    </row>
    <row r="88" ht="14.25" customHeight="1">
      <c r="A88" s="5" t="s">
        <v>475</v>
      </c>
      <c r="B88" s="5" t="s">
        <v>457</v>
      </c>
      <c r="C88" s="5" t="s">
        <v>462</v>
      </c>
      <c r="D88" s="20">
        <v>1.0</v>
      </c>
      <c r="E88" s="5" t="s">
        <v>161</v>
      </c>
      <c r="F88" s="5" t="s">
        <v>464</v>
      </c>
      <c r="G88" s="5" t="s">
        <v>463</v>
      </c>
      <c r="H88" s="20">
        <v>68.0</v>
      </c>
      <c r="I88" s="21">
        <v>45987.0</v>
      </c>
      <c r="J88" s="5" t="s">
        <v>461</v>
      </c>
    </row>
    <row r="89" ht="14.25" customHeight="1">
      <c r="A89" s="5" t="s">
        <v>475</v>
      </c>
      <c r="B89" s="5" t="s">
        <v>457</v>
      </c>
      <c r="C89" s="5" t="s">
        <v>462</v>
      </c>
      <c r="D89" s="20">
        <v>1.0</v>
      </c>
      <c r="E89" s="5" t="s">
        <v>161</v>
      </c>
      <c r="F89" s="5" t="s">
        <v>464</v>
      </c>
      <c r="G89" s="5" t="s">
        <v>465</v>
      </c>
      <c r="H89" s="20">
        <v>68.0</v>
      </c>
      <c r="I89" s="21">
        <v>45987.0</v>
      </c>
      <c r="J89" s="5" t="s">
        <v>461</v>
      </c>
    </row>
    <row r="90" ht="14.25" customHeight="1">
      <c r="A90" s="5" t="s">
        <v>475</v>
      </c>
      <c r="B90" s="5" t="s">
        <v>457</v>
      </c>
      <c r="C90" s="5" t="s">
        <v>462</v>
      </c>
      <c r="D90" s="20">
        <v>1.0</v>
      </c>
      <c r="E90" s="5" t="s">
        <v>161</v>
      </c>
      <c r="F90" s="5" t="s">
        <v>464</v>
      </c>
      <c r="G90" s="5" t="s">
        <v>466</v>
      </c>
      <c r="H90" s="20">
        <v>69.0</v>
      </c>
      <c r="I90" s="21">
        <v>45987.0</v>
      </c>
      <c r="J90" s="5" t="s">
        <v>461</v>
      </c>
    </row>
    <row r="91" ht="14.25" customHeight="1">
      <c r="A91" s="5" t="s">
        <v>475</v>
      </c>
      <c r="B91" s="5" t="s">
        <v>457</v>
      </c>
      <c r="C91" s="5" t="s">
        <v>462</v>
      </c>
      <c r="D91" s="20">
        <v>2.0</v>
      </c>
      <c r="E91" s="5" t="s">
        <v>161</v>
      </c>
      <c r="F91" s="5" t="s">
        <v>464</v>
      </c>
      <c r="G91" s="5" t="s">
        <v>466</v>
      </c>
      <c r="H91" s="20">
        <v>50.0</v>
      </c>
      <c r="I91" s="21">
        <v>45987.0</v>
      </c>
      <c r="J91" s="5" t="s">
        <v>461</v>
      </c>
    </row>
    <row r="92" ht="14.25" customHeight="1">
      <c r="A92" s="5" t="s">
        <v>475</v>
      </c>
      <c r="B92" s="5" t="s">
        <v>457</v>
      </c>
      <c r="C92" s="5" t="s">
        <v>462</v>
      </c>
      <c r="D92" s="20">
        <v>2.0</v>
      </c>
      <c r="E92" s="5" t="s">
        <v>167</v>
      </c>
      <c r="F92" s="5" t="s">
        <v>467</v>
      </c>
      <c r="G92" s="5" t="s">
        <v>463</v>
      </c>
      <c r="H92" s="20">
        <v>272.0</v>
      </c>
      <c r="I92" s="21">
        <v>45987.0</v>
      </c>
      <c r="J92" s="5" t="s">
        <v>461</v>
      </c>
    </row>
    <row r="93" ht="14.25" customHeight="1">
      <c r="A93" s="5" t="s">
        <v>475</v>
      </c>
      <c r="B93" s="5" t="s">
        <v>468</v>
      </c>
      <c r="C93" s="5" t="s">
        <v>462</v>
      </c>
      <c r="D93" s="20">
        <v>1.0</v>
      </c>
      <c r="E93" s="5" t="s">
        <v>161</v>
      </c>
      <c r="F93" s="5" t="s">
        <v>459</v>
      </c>
      <c r="G93" s="5" t="s">
        <v>466</v>
      </c>
      <c r="H93" s="20">
        <v>92.0</v>
      </c>
      <c r="I93" s="21">
        <v>45987.0</v>
      </c>
      <c r="J93" s="5" t="s">
        <v>461</v>
      </c>
    </row>
    <row r="94" ht="14.25" customHeight="1">
      <c r="A94" s="5" t="s">
        <v>475</v>
      </c>
      <c r="B94" s="5" t="s">
        <v>468</v>
      </c>
      <c r="C94" s="5" t="s">
        <v>462</v>
      </c>
      <c r="D94" s="20">
        <v>1.0</v>
      </c>
      <c r="E94" s="5" t="s">
        <v>170</v>
      </c>
      <c r="F94" s="5" t="s">
        <v>464</v>
      </c>
      <c r="G94" s="5" t="s">
        <v>460</v>
      </c>
      <c r="H94" s="20">
        <v>98.0</v>
      </c>
      <c r="I94" s="21">
        <v>45987.0</v>
      </c>
      <c r="J94" s="5" t="s">
        <v>461</v>
      </c>
    </row>
    <row r="95" ht="14.25" customHeight="1">
      <c r="A95" s="5" t="s">
        <v>475</v>
      </c>
      <c r="B95" s="5" t="s">
        <v>468</v>
      </c>
      <c r="C95" s="5" t="s">
        <v>462</v>
      </c>
      <c r="D95" s="20">
        <v>1.0</v>
      </c>
      <c r="E95" s="5" t="s">
        <v>170</v>
      </c>
      <c r="F95" s="5" t="s">
        <v>464</v>
      </c>
      <c r="G95" s="5" t="s">
        <v>463</v>
      </c>
      <c r="H95" s="20">
        <v>100.0</v>
      </c>
      <c r="I95" s="21">
        <v>45987.0</v>
      </c>
      <c r="J95" s="5" t="s">
        <v>461</v>
      </c>
    </row>
    <row r="96" ht="14.25" customHeight="1">
      <c r="A96" s="5" t="s">
        <v>475</v>
      </c>
      <c r="B96" s="5" t="s">
        <v>468</v>
      </c>
      <c r="C96" s="5" t="s">
        <v>462</v>
      </c>
      <c r="D96" s="20">
        <v>1.0</v>
      </c>
      <c r="E96" s="5" t="s">
        <v>170</v>
      </c>
      <c r="F96" s="5" t="s">
        <v>464</v>
      </c>
      <c r="G96" s="5" t="s">
        <v>465</v>
      </c>
      <c r="H96" s="20">
        <v>10.0</v>
      </c>
      <c r="I96" s="21">
        <v>45987.0</v>
      </c>
      <c r="J96" s="5" t="s">
        <v>461</v>
      </c>
    </row>
    <row r="97" ht="14.25" customHeight="1">
      <c r="A97" s="5" t="s">
        <v>475</v>
      </c>
      <c r="B97" s="5" t="s">
        <v>468</v>
      </c>
      <c r="C97" s="5" t="s">
        <v>462</v>
      </c>
      <c r="D97" s="20">
        <v>2.0</v>
      </c>
      <c r="E97" s="5" t="s">
        <v>170</v>
      </c>
      <c r="F97" s="5" t="s">
        <v>464</v>
      </c>
      <c r="G97" s="5" t="s">
        <v>465</v>
      </c>
      <c r="H97" s="20">
        <v>140.0</v>
      </c>
      <c r="I97" s="21">
        <v>45987.0</v>
      </c>
      <c r="J97" s="5" t="s">
        <v>461</v>
      </c>
    </row>
    <row r="98" ht="14.25" customHeight="1">
      <c r="A98" s="5" t="s">
        <v>475</v>
      </c>
      <c r="B98" s="5" t="s">
        <v>468</v>
      </c>
      <c r="C98" s="5" t="s">
        <v>462</v>
      </c>
      <c r="D98" s="20">
        <v>2.0</v>
      </c>
      <c r="E98" s="5" t="s">
        <v>174</v>
      </c>
      <c r="F98" s="5" t="s">
        <v>464</v>
      </c>
      <c r="G98" s="5" t="s">
        <v>460</v>
      </c>
      <c r="H98" s="20">
        <v>65.0</v>
      </c>
      <c r="I98" s="21">
        <v>45987.0</v>
      </c>
      <c r="J98" s="5" t="s">
        <v>461</v>
      </c>
    </row>
    <row r="99" ht="14.25" customHeight="1">
      <c r="A99" s="5" t="s">
        <v>475</v>
      </c>
      <c r="B99" s="5" t="s">
        <v>468</v>
      </c>
      <c r="C99" s="5" t="s">
        <v>462</v>
      </c>
      <c r="D99" s="20">
        <v>2.0</v>
      </c>
      <c r="E99" s="5" t="s">
        <v>174</v>
      </c>
      <c r="F99" s="5" t="s">
        <v>464</v>
      </c>
      <c r="G99" s="5" t="s">
        <v>463</v>
      </c>
      <c r="H99" s="20">
        <v>69.0</v>
      </c>
      <c r="I99" s="21">
        <v>45987.0</v>
      </c>
      <c r="J99" s="5" t="s">
        <v>461</v>
      </c>
    </row>
    <row r="100" ht="14.25" customHeight="1">
      <c r="A100" s="5" t="s">
        <v>475</v>
      </c>
      <c r="B100" s="5" t="s">
        <v>468</v>
      </c>
      <c r="C100" s="5" t="s">
        <v>462</v>
      </c>
      <c r="D100" s="20">
        <v>3.0</v>
      </c>
      <c r="E100" s="5" t="s">
        <v>174</v>
      </c>
      <c r="F100" s="5" t="s">
        <v>464</v>
      </c>
      <c r="G100" s="5" t="s">
        <v>469</v>
      </c>
      <c r="H100" s="20">
        <v>70.0</v>
      </c>
      <c r="I100" s="21">
        <v>45987.0</v>
      </c>
      <c r="J100" s="5" t="s">
        <v>461</v>
      </c>
    </row>
    <row r="101" ht="14.25" customHeight="1">
      <c r="A101" s="5" t="s">
        <v>475</v>
      </c>
      <c r="B101" s="5" t="s">
        <v>468</v>
      </c>
      <c r="C101" s="5" t="s">
        <v>462</v>
      </c>
      <c r="D101" s="20">
        <v>3.0</v>
      </c>
      <c r="E101" s="5" t="s">
        <v>178</v>
      </c>
      <c r="F101" s="5" t="s">
        <v>464</v>
      </c>
      <c r="G101" s="5" t="s">
        <v>463</v>
      </c>
      <c r="H101" s="20">
        <v>80.0</v>
      </c>
      <c r="I101" s="21">
        <v>45987.0</v>
      </c>
      <c r="J101" s="5" t="s">
        <v>461</v>
      </c>
    </row>
    <row r="102" ht="14.25" customHeight="1">
      <c r="A102" s="5" t="s">
        <v>475</v>
      </c>
      <c r="B102" s="5" t="s">
        <v>468</v>
      </c>
      <c r="C102" s="5" t="s">
        <v>462</v>
      </c>
      <c r="D102" s="20">
        <v>3.0</v>
      </c>
      <c r="E102" s="5" t="s">
        <v>180</v>
      </c>
      <c r="F102" s="5" t="s">
        <v>470</v>
      </c>
      <c r="G102" s="5" t="s">
        <v>469</v>
      </c>
      <c r="H102" s="20">
        <v>77.0</v>
      </c>
      <c r="I102" s="21">
        <v>45987.0</v>
      </c>
      <c r="J102" s="5" t="s">
        <v>461</v>
      </c>
    </row>
    <row r="103" ht="14.25" customHeight="1">
      <c r="A103" s="5" t="s">
        <v>475</v>
      </c>
      <c r="B103" s="5" t="s">
        <v>468</v>
      </c>
      <c r="C103" s="5" t="s">
        <v>462</v>
      </c>
      <c r="D103" s="20">
        <v>3.0</v>
      </c>
      <c r="E103" s="5" t="s">
        <v>180</v>
      </c>
      <c r="F103" s="5" t="s">
        <v>470</v>
      </c>
      <c r="G103" s="5" t="s">
        <v>465</v>
      </c>
      <c r="H103" s="20">
        <v>40.0</v>
      </c>
      <c r="I103" s="21">
        <v>45987.0</v>
      </c>
      <c r="J103" s="5" t="s">
        <v>461</v>
      </c>
    </row>
    <row r="104" ht="14.25" customHeight="1">
      <c r="A104" s="5" t="s">
        <v>475</v>
      </c>
      <c r="B104" s="5" t="s">
        <v>468</v>
      </c>
      <c r="C104" s="5" t="s">
        <v>462</v>
      </c>
      <c r="D104" s="20">
        <v>3.0</v>
      </c>
      <c r="E104" s="5" t="s">
        <v>180</v>
      </c>
      <c r="F104" s="5" t="s">
        <v>470</v>
      </c>
      <c r="G104" s="5" t="s">
        <v>466</v>
      </c>
      <c r="H104" s="20">
        <v>21.0</v>
      </c>
      <c r="I104" s="21">
        <v>45987.0</v>
      </c>
      <c r="J104" s="5" t="s">
        <v>461</v>
      </c>
    </row>
    <row r="105" ht="14.25" customHeight="1">
      <c r="A105" s="5" t="s">
        <v>475</v>
      </c>
      <c r="B105" s="5" t="s">
        <v>468</v>
      </c>
      <c r="C105" s="5" t="s">
        <v>462</v>
      </c>
      <c r="D105" s="20">
        <v>4.0</v>
      </c>
      <c r="E105" s="5" t="s">
        <v>180</v>
      </c>
      <c r="F105" s="5" t="s">
        <v>470</v>
      </c>
      <c r="G105" s="5" t="s">
        <v>466</v>
      </c>
      <c r="H105" s="20">
        <v>60.0</v>
      </c>
      <c r="I105" s="21">
        <v>45987.0</v>
      </c>
      <c r="J105" s="5" t="s">
        <v>461</v>
      </c>
    </row>
    <row r="106" ht="14.25" customHeight="1">
      <c r="A106" s="5" t="s">
        <v>475</v>
      </c>
      <c r="B106" s="5" t="s">
        <v>468</v>
      </c>
      <c r="C106" s="5" t="s">
        <v>462</v>
      </c>
      <c r="D106" s="20">
        <v>4.0</v>
      </c>
      <c r="E106" s="5" t="s">
        <v>167</v>
      </c>
      <c r="F106" s="5" t="s">
        <v>471</v>
      </c>
      <c r="G106" s="5" t="s">
        <v>466</v>
      </c>
      <c r="H106" s="20">
        <v>47.0</v>
      </c>
      <c r="I106" s="21">
        <v>45987.0</v>
      </c>
      <c r="J106" s="5" t="s">
        <v>461</v>
      </c>
    </row>
    <row r="107" ht="14.25" customHeight="1">
      <c r="A107" s="5" t="s">
        <v>475</v>
      </c>
      <c r="B107" s="5" t="s">
        <v>468</v>
      </c>
      <c r="C107" s="5" t="s">
        <v>462</v>
      </c>
      <c r="D107" s="20">
        <v>4.0</v>
      </c>
      <c r="E107" s="5" t="s">
        <v>167</v>
      </c>
      <c r="F107" s="5" t="s">
        <v>471</v>
      </c>
      <c r="G107" s="5" t="s">
        <v>465</v>
      </c>
      <c r="H107" s="20">
        <v>47.0</v>
      </c>
      <c r="I107" s="21">
        <v>45987.0</v>
      </c>
      <c r="J107" s="5" t="s">
        <v>461</v>
      </c>
    </row>
    <row r="108" ht="14.25" customHeight="1">
      <c r="A108" s="5" t="s">
        <v>475</v>
      </c>
      <c r="B108" s="5" t="s">
        <v>468</v>
      </c>
      <c r="C108" s="5" t="s">
        <v>462</v>
      </c>
      <c r="D108" s="20">
        <v>4.0</v>
      </c>
      <c r="E108" s="5" t="s">
        <v>167</v>
      </c>
      <c r="F108" s="5" t="s">
        <v>471</v>
      </c>
      <c r="G108" s="5" t="s">
        <v>463</v>
      </c>
      <c r="H108" s="20">
        <v>48.0</v>
      </c>
      <c r="I108" s="21">
        <v>45987.0</v>
      </c>
      <c r="J108" s="5" t="s">
        <v>461</v>
      </c>
    </row>
    <row r="109" ht="14.25" customHeight="1">
      <c r="A109" s="5" t="s">
        <v>475</v>
      </c>
      <c r="B109" s="5" t="s">
        <v>468</v>
      </c>
      <c r="C109" s="5" t="s">
        <v>462</v>
      </c>
      <c r="D109" s="20">
        <v>4.0</v>
      </c>
      <c r="E109" s="5" t="s">
        <v>167</v>
      </c>
      <c r="F109" s="5" t="s">
        <v>471</v>
      </c>
      <c r="G109" s="5" t="s">
        <v>460</v>
      </c>
      <c r="H109" s="20">
        <v>46.0</v>
      </c>
      <c r="I109" s="21">
        <v>45987.0</v>
      </c>
      <c r="J109" s="5" t="s">
        <v>461</v>
      </c>
    </row>
    <row r="110" ht="14.25" customHeight="1">
      <c r="A110" s="5" t="s">
        <v>475</v>
      </c>
      <c r="B110" s="5" t="s">
        <v>468</v>
      </c>
      <c r="C110" s="5" t="s">
        <v>462</v>
      </c>
      <c r="D110" s="20">
        <v>4.0</v>
      </c>
      <c r="E110" s="5" t="s">
        <v>188</v>
      </c>
      <c r="F110" s="5" t="s">
        <v>464</v>
      </c>
      <c r="G110" s="5" t="s">
        <v>466</v>
      </c>
      <c r="H110" s="20">
        <v>30.0</v>
      </c>
      <c r="I110" s="21">
        <v>45987.0</v>
      </c>
      <c r="J110" s="5" t="s">
        <v>461</v>
      </c>
    </row>
    <row r="111" ht="14.25" customHeight="1">
      <c r="A111" s="5" t="s">
        <v>475</v>
      </c>
      <c r="B111" s="5" t="s">
        <v>468</v>
      </c>
      <c r="C111" s="5" t="s">
        <v>462</v>
      </c>
      <c r="D111" s="20">
        <v>5.0</v>
      </c>
      <c r="E111" s="5" t="s">
        <v>188</v>
      </c>
      <c r="F111" s="5" t="s">
        <v>464</v>
      </c>
      <c r="G111" s="5" t="s">
        <v>466</v>
      </c>
      <c r="H111" s="20">
        <v>120.0</v>
      </c>
      <c r="I111" s="21">
        <v>45987.0</v>
      </c>
      <c r="J111" s="5" t="s">
        <v>461</v>
      </c>
    </row>
    <row r="112" ht="14.25" customHeight="1">
      <c r="A112" s="5" t="s">
        <v>475</v>
      </c>
      <c r="B112" s="5" t="s">
        <v>468</v>
      </c>
      <c r="C112" s="5" t="s">
        <v>462</v>
      </c>
      <c r="D112" s="20">
        <v>5.0</v>
      </c>
      <c r="E112" s="5" t="s">
        <v>188</v>
      </c>
      <c r="F112" s="5" t="s">
        <v>464</v>
      </c>
      <c r="G112" s="5" t="s">
        <v>465</v>
      </c>
      <c r="H112" s="20">
        <v>57.0</v>
      </c>
      <c r="I112" s="21">
        <v>45987.0</v>
      </c>
      <c r="J112" s="5" t="s">
        <v>461</v>
      </c>
    </row>
    <row r="113" ht="14.25" customHeight="1">
      <c r="A113" s="5" t="s">
        <v>475</v>
      </c>
      <c r="B113" s="5" t="s">
        <v>468</v>
      </c>
      <c r="C113" s="5" t="s">
        <v>462</v>
      </c>
      <c r="D113" s="20">
        <v>5.0</v>
      </c>
      <c r="E113" s="5" t="s">
        <v>191</v>
      </c>
      <c r="F113" s="5" t="s">
        <v>464</v>
      </c>
      <c r="G113" s="5" t="s">
        <v>466</v>
      </c>
      <c r="H113" s="20">
        <v>28.0</v>
      </c>
      <c r="I113" s="21">
        <v>45987.0</v>
      </c>
      <c r="J113" s="5" t="s">
        <v>461</v>
      </c>
    </row>
    <row r="114" ht="14.25" customHeight="1">
      <c r="A114" s="5" t="s">
        <v>475</v>
      </c>
      <c r="B114" s="5" t="s">
        <v>468</v>
      </c>
      <c r="C114" s="5" t="s">
        <v>462</v>
      </c>
      <c r="D114" s="20">
        <v>5.0</v>
      </c>
      <c r="E114" s="5" t="s">
        <v>191</v>
      </c>
      <c r="F114" s="5" t="s">
        <v>464</v>
      </c>
      <c r="G114" s="5" t="s">
        <v>465</v>
      </c>
      <c r="H114" s="20">
        <v>26.0</v>
      </c>
      <c r="I114" s="21">
        <v>45987.0</v>
      </c>
      <c r="J114" s="5" t="s">
        <v>461</v>
      </c>
    </row>
    <row r="115" ht="14.25" customHeight="1">
      <c r="A115" s="5" t="s">
        <v>475</v>
      </c>
      <c r="B115" s="5" t="s">
        <v>468</v>
      </c>
      <c r="C115" s="5" t="s">
        <v>462</v>
      </c>
      <c r="D115" s="20">
        <v>5.0</v>
      </c>
      <c r="E115" s="5" t="s">
        <v>191</v>
      </c>
      <c r="F115" s="5" t="s">
        <v>464</v>
      </c>
      <c r="G115" s="5" t="s">
        <v>469</v>
      </c>
      <c r="H115" s="20">
        <v>33.0</v>
      </c>
      <c r="I115" s="21">
        <v>45987.0</v>
      </c>
      <c r="J115" s="5" t="s">
        <v>461</v>
      </c>
    </row>
    <row r="116" ht="14.25" customHeight="1">
      <c r="A116" s="5" t="s">
        <v>475</v>
      </c>
      <c r="B116" s="5" t="s">
        <v>468</v>
      </c>
      <c r="C116" s="5" t="s">
        <v>462</v>
      </c>
      <c r="D116" s="20">
        <v>6.0</v>
      </c>
      <c r="E116" s="5" t="s">
        <v>191</v>
      </c>
      <c r="F116" s="5" t="s">
        <v>464</v>
      </c>
      <c r="G116" s="5" t="s">
        <v>469</v>
      </c>
      <c r="H116" s="20">
        <v>50.0</v>
      </c>
      <c r="I116" s="21">
        <v>45987.0</v>
      </c>
      <c r="J116" s="5" t="s">
        <v>461</v>
      </c>
    </row>
    <row r="117" ht="14.25" customHeight="1">
      <c r="A117" s="5" t="s">
        <v>475</v>
      </c>
      <c r="B117" s="5" t="s">
        <v>468</v>
      </c>
      <c r="C117" s="5" t="s">
        <v>462</v>
      </c>
      <c r="D117" s="20">
        <v>6.0</v>
      </c>
      <c r="E117" s="5" t="s">
        <v>167</v>
      </c>
      <c r="F117" s="5" t="s">
        <v>467</v>
      </c>
      <c r="G117" s="5" t="s">
        <v>460</v>
      </c>
      <c r="H117" s="20">
        <v>270.0</v>
      </c>
      <c r="I117" s="21">
        <v>45987.0</v>
      </c>
      <c r="J117" s="5" t="s">
        <v>461</v>
      </c>
    </row>
    <row r="118" ht="14.25" customHeight="1">
      <c r="A118" s="5" t="s">
        <v>475</v>
      </c>
      <c r="B118" s="5" t="s">
        <v>468</v>
      </c>
      <c r="C118" s="5" t="s">
        <v>462</v>
      </c>
      <c r="D118" s="20">
        <v>7.0</v>
      </c>
      <c r="E118" s="5" t="s">
        <v>167</v>
      </c>
      <c r="F118" s="5" t="s">
        <v>467</v>
      </c>
      <c r="G118" s="5" t="s">
        <v>469</v>
      </c>
      <c r="H118" s="20">
        <v>280.0</v>
      </c>
      <c r="I118" s="21">
        <v>45987.0</v>
      </c>
      <c r="J118" s="5" t="s">
        <v>461</v>
      </c>
    </row>
    <row r="119" ht="14.25" customHeight="1">
      <c r="A119" s="5" t="s">
        <v>475</v>
      </c>
      <c r="B119" s="5" t="s">
        <v>468</v>
      </c>
      <c r="C119" s="5" t="s">
        <v>462</v>
      </c>
      <c r="D119" s="20">
        <v>8.0</v>
      </c>
      <c r="E119" s="5" t="s">
        <v>167</v>
      </c>
      <c r="F119" s="5" t="s">
        <v>467</v>
      </c>
      <c r="G119" s="5" t="s">
        <v>469</v>
      </c>
      <c r="H119" s="20">
        <v>230.0</v>
      </c>
      <c r="I119" s="21">
        <v>45987.0</v>
      </c>
      <c r="J119" s="5" t="s">
        <v>461</v>
      </c>
    </row>
    <row r="120" ht="14.25" customHeight="1">
      <c r="A120" s="5" t="s">
        <v>475</v>
      </c>
      <c r="B120" s="5" t="s">
        <v>468</v>
      </c>
      <c r="C120" s="5" t="s">
        <v>462</v>
      </c>
      <c r="D120" s="20">
        <v>8.0</v>
      </c>
      <c r="E120" s="5" t="s">
        <v>167</v>
      </c>
      <c r="F120" s="5" t="s">
        <v>467</v>
      </c>
      <c r="G120" s="5" t="s">
        <v>465</v>
      </c>
      <c r="H120" s="20">
        <v>50.0</v>
      </c>
      <c r="I120" s="21">
        <v>45987.0</v>
      </c>
      <c r="J120" s="5" t="s">
        <v>461</v>
      </c>
    </row>
    <row r="121" ht="14.25" customHeight="1">
      <c r="A121" s="5" t="s">
        <v>475</v>
      </c>
      <c r="B121" s="5" t="s">
        <v>468</v>
      </c>
      <c r="C121" s="5" t="s">
        <v>462</v>
      </c>
      <c r="D121" s="20">
        <v>9.0</v>
      </c>
      <c r="E121" s="5" t="s">
        <v>167</v>
      </c>
      <c r="F121" s="5" t="s">
        <v>467</v>
      </c>
      <c r="G121" s="5" t="s">
        <v>465</v>
      </c>
      <c r="H121" s="20">
        <v>150.0</v>
      </c>
      <c r="I121" s="21">
        <v>45987.0</v>
      </c>
      <c r="J121" s="5" t="s">
        <v>461</v>
      </c>
    </row>
    <row r="122" ht="14.25" customHeight="1">
      <c r="A122" s="5" t="s">
        <v>475</v>
      </c>
      <c r="B122" s="5" t="s">
        <v>468</v>
      </c>
      <c r="C122" s="5" t="s">
        <v>462</v>
      </c>
      <c r="D122" s="20">
        <v>9.0</v>
      </c>
      <c r="E122" s="5" t="s">
        <v>167</v>
      </c>
      <c r="F122" s="5" t="s">
        <v>467</v>
      </c>
      <c r="G122" s="5" t="s">
        <v>466</v>
      </c>
      <c r="H122" s="20">
        <v>130.0</v>
      </c>
      <c r="I122" s="21">
        <v>45987.0</v>
      </c>
      <c r="J122" s="5" t="s">
        <v>461</v>
      </c>
    </row>
    <row r="123" ht="14.25" customHeight="1">
      <c r="A123" s="5" t="s">
        <v>475</v>
      </c>
      <c r="B123" s="5" t="s">
        <v>468</v>
      </c>
      <c r="C123" s="5" t="s">
        <v>462</v>
      </c>
      <c r="D123" s="20">
        <v>10.0</v>
      </c>
      <c r="E123" s="5" t="s">
        <v>167</v>
      </c>
      <c r="F123" s="5" t="s">
        <v>467</v>
      </c>
      <c r="G123" s="5" t="s">
        <v>466</v>
      </c>
      <c r="H123" s="20">
        <v>290.0</v>
      </c>
      <c r="I123" s="21">
        <v>45987.0</v>
      </c>
      <c r="J123" s="5" t="s">
        <v>461</v>
      </c>
    </row>
    <row r="124" ht="14.25" customHeight="1">
      <c r="A124" s="5" t="s">
        <v>475</v>
      </c>
      <c r="B124" s="5" t="s">
        <v>468</v>
      </c>
      <c r="C124" s="5" t="s">
        <v>462</v>
      </c>
      <c r="D124" s="20">
        <v>11.0</v>
      </c>
      <c r="E124" s="5" t="s">
        <v>178</v>
      </c>
      <c r="F124" s="5" t="s">
        <v>472</v>
      </c>
      <c r="G124" s="5" t="s">
        <v>469</v>
      </c>
      <c r="H124" s="20">
        <v>89.0</v>
      </c>
      <c r="I124" s="21">
        <v>45987.0</v>
      </c>
      <c r="J124" s="5" t="s">
        <v>461</v>
      </c>
    </row>
    <row r="125" ht="14.25" customHeight="1">
      <c r="A125" s="5" t="s">
        <v>475</v>
      </c>
      <c r="B125" s="5" t="s">
        <v>468</v>
      </c>
      <c r="C125" s="5" t="s">
        <v>462</v>
      </c>
      <c r="D125" s="20">
        <v>11.0</v>
      </c>
      <c r="E125" s="5" t="s">
        <v>188</v>
      </c>
      <c r="F125" s="5" t="s">
        <v>464</v>
      </c>
      <c r="G125" s="5" t="s">
        <v>465</v>
      </c>
      <c r="H125" s="20">
        <v>30.0</v>
      </c>
      <c r="I125" s="21">
        <v>45987.0</v>
      </c>
      <c r="J125" s="5" t="s">
        <v>461</v>
      </c>
    </row>
    <row r="126" ht="14.25" customHeight="1">
      <c r="A126" s="5" t="s">
        <v>475</v>
      </c>
      <c r="B126" s="5" t="s">
        <v>468</v>
      </c>
      <c r="C126" s="5" t="s">
        <v>462</v>
      </c>
      <c r="D126" s="20">
        <v>11.0</v>
      </c>
      <c r="E126" s="5" t="s">
        <v>167</v>
      </c>
      <c r="F126" s="5" t="s">
        <v>467</v>
      </c>
      <c r="G126" s="5" t="s">
        <v>463</v>
      </c>
      <c r="H126" s="20">
        <v>190.0</v>
      </c>
      <c r="I126" s="21">
        <v>45987.0</v>
      </c>
      <c r="J126" s="5" t="s">
        <v>461</v>
      </c>
    </row>
    <row r="127" ht="14.25" customHeight="1">
      <c r="A127" s="5" t="s">
        <v>475</v>
      </c>
      <c r="B127" s="5" t="s">
        <v>468</v>
      </c>
      <c r="C127" s="5" t="s">
        <v>462</v>
      </c>
      <c r="D127" s="20">
        <v>11.0</v>
      </c>
      <c r="E127" s="5" t="s">
        <v>167</v>
      </c>
      <c r="F127" s="5" t="s">
        <v>473</v>
      </c>
      <c r="G127" s="5" t="s">
        <v>463</v>
      </c>
      <c r="H127" s="20">
        <v>190.0</v>
      </c>
      <c r="I127" s="21">
        <v>45987.0</v>
      </c>
      <c r="J127" s="5" t="s">
        <v>461</v>
      </c>
    </row>
    <row r="128" ht="14.25" customHeight="1">
      <c r="A128" s="5" t="s">
        <v>475</v>
      </c>
      <c r="B128" s="5" t="s">
        <v>457</v>
      </c>
      <c r="C128" s="5" t="s">
        <v>458</v>
      </c>
      <c r="D128" s="20">
        <v>1.0</v>
      </c>
      <c r="E128" s="5" t="s">
        <v>161</v>
      </c>
      <c r="F128" s="5" t="s">
        <v>459</v>
      </c>
      <c r="G128" s="5" t="s">
        <v>460</v>
      </c>
      <c r="H128" s="20">
        <v>53.0</v>
      </c>
      <c r="I128" s="21">
        <v>45987.0</v>
      </c>
      <c r="J128" s="5" t="s">
        <v>461</v>
      </c>
    </row>
    <row r="129" ht="14.25" customHeight="1">
      <c r="A129" s="5" t="s">
        <v>475</v>
      </c>
      <c r="B129" s="5" t="s">
        <v>457</v>
      </c>
      <c r="C129" s="5" t="s">
        <v>462</v>
      </c>
      <c r="D129" s="20">
        <v>1.0</v>
      </c>
      <c r="E129" s="5" t="s">
        <v>161</v>
      </c>
      <c r="F129" s="5" t="s">
        <v>459</v>
      </c>
      <c r="G129" s="5" t="s">
        <v>463</v>
      </c>
      <c r="H129" s="20">
        <v>99.0</v>
      </c>
      <c r="I129" s="21">
        <v>45987.0</v>
      </c>
      <c r="J129" s="5" t="s">
        <v>461</v>
      </c>
    </row>
    <row r="130" ht="14.25" customHeight="1">
      <c r="A130" s="5" t="s">
        <v>475</v>
      </c>
      <c r="B130" s="5" t="s">
        <v>457</v>
      </c>
      <c r="C130" s="5" t="s">
        <v>462</v>
      </c>
      <c r="D130" s="20">
        <v>1.0</v>
      </c>
      <c r="E130" s="5" t="s">
        <v>161</v>
      </c>
      <c r="F130" s="5" t="s">
        <v>464</v>
      </c>
      <c r="G130" s="5" t="s">
        <v>463</v>
      </c>
      <c r="H130" s="20">
        <v>68.0</v>
      </c>
      <c r="I130" s="21">
        <v>45987.0</v>
      </c>
      <c r="J130" s="5" t="s">
        <v>461</v>
      </c>
    </row>
    <row r="131" ht="14.25" customHeight="1">
      <c r="A131" s="5" t="s">
        <v>475</v>
      </c>
      <c r="B131" s="5" t="s">
        <v>457</v>
      </c>
      <c r="C131" s="5" t="s">
        <v>462</v>
      </c>
      <c r="D131" s="20">
        <v>1.0</v>
      </c>
      <c r="E131" s="5" t="s">
        <v>161</v>
      </c>
      <c r="F131" s="5" t="s">
        <v>464</v>
      </c>
      <c r="G131" s="5" t="s">
        <v>465</v>
      </c>
      <c r="H131" s="20">
        <v>68.0</v>
      </c>
      <c r="I131" s="21">
        <v>45987.0</v>
      </c>
      <c r="J131" s="5" t="s">
        <v>461</v>
      </c>
    </row>
    <row r="132" ht="14.25" customHeight="1">
      <c r="A132" s="5" t="s">
        <v>475</v>
      </c>
      <c r="B132" s="5" t="s">
        <v>457</v>
      </c>
      <c r="C132" s="5" t="s">
        <v>462</v>
      </c>
      <c r="D132" s="20">
        <v>1.0</v>
      </c>
      <c r="E132" s="5" t="s">
        <v>161</v>
      </c>
      <c r="F132" s="5" t="s">
        <v>464</v>
      </c>
      <c r="G132" s="5" t="s">
        <v>466</v>
      </c>
      <c r="H132" s="20">
        <v>69.0</v>
      </c>
      <c r="I132" s="21">
        <v>45987.0</v>
      </c>
      <c r="J132" s="5" t="s">
        <v>461</v>
      </c>
    </row>
    <row r="133" ht="14.25" customHeight="1">
      <c r="A133" s="5" t="s">
        <v>475</v>
      </c>
      <c r="B133" s="5" t="s">
        <v>457</v>
      </c>
      <c r="C133" s="5" t="s">
        <v>462</v>
      </c>
      <c r="D133" s="20">
        <v>2.0</v>
      </c>
      <c r="E133" s="5" t="s">
        <v>161</v>
      </c>
      <c r="F133" s="5" t="s">
        <v>464</v>
      </c>
      <c r="G133" s="5" t="s">
        <v>466</v>
      </c>
      <c r="H133" s="20">
        <v>50.0</v>
      </c>
      <c r="I133" s="21">
        <v>45987.0</v>
      </c>
      <c r="J133" s="5" t="s">
        <v>461</v>
      </c>
    </row>
    <row r="134" ht="14.25" customHeight="1">
      <c r="A134" s="5" t="s">
        <v>475</v>
      </c>
      <c r="B134" s="5" t="s">
        <v>457</v>
      </c>
      <c r="C134" s="5" t="s">
        <v>462</v>
      </c>
      <c r="D134" s="20">
        <v>2.0</v>
      </c>
      <c r="E134" s="5" t="s">
        <v>167</v>
      </c>
      <c r="F134" s="5" t="s">
        <v>467</v>
      </c>
      <c r="G134" s="5" t="s">
        <v>463</v>
      </c>
      <c r="H134" s="20">
        <v>272.0</v>
      </c>
      <c r="I134" s="21">
        <v>45987.0</v>
      </c>
      <c r="J134" s="5" t="s">
        <v>461</v>
      </c>
    </row>
    <row r="135" ht="14.25" customHeight="1">
      <c r="A135" s="5" t="s">
        <v>475</v>
      </c>
      <c r="B135" s="5" t="s">
        <v>468</v>
      </c>
      <c r="C135" s="5" t="s">
        <v>462</v>
      </c>
      <c r="D135" s="20">
        <v>1.0</v>
      </c>
      <c r="E135" s="5" t="s">
        <v>161</v>
      </c>
      <c r="F135" s="5" t="s">
        <v>459</v>
      </c>
      <c r="G135" s="5" t="s">
        <v>466</v>
      </c>
      <c r="H135" s="20">
        <v>92.0</v>
      </c>
      <c r="I135" s="21">
        <v>45987.0</v>
      </c>
      <c r="J135" s="5" t="s">
        <v>461</v>
      </c>
    </row>
    <row r="136" ht="14.25" customHeight="1">
      <c r="A136" s="5" t="s">
        <v>475</v>
      </c>
      <c r="B136" s="5" t="s">
        <v>468</v>
      </c>
      <c r="C136" s="5" t="s">
        <v>462</v>
      </c>
      <c r="D136" s="20">
        <v>1.0</v>
      </c>
      <c r="E136" s="5" t="s">
        <v>170</v>
      </c>
      <c r="F136" s="5" t="s">
        <v>464</v>
      </c>
      <c r="G136" s="5" t="s">
        <v>460</v>
      </c>
      <c r="H136" s="20">
        <v>98.0</v>
      </c>
      <c r="I136" s="21">
        <v>45987.0</v>
      </c>
      <c r="J136" s="5" t="s">
        <v>461</v>
      </c>
    </row>
    <row r="137" ht="14.25" customHeight="1">
      <c r="A137" s="5" t="s">
        <v>475</v>
      </c>
      <c r="B137" s="5" t="s">
        <v>468</v>
      </c>
      <c r="C137" s="5" t="s">
        <v>462</v>
      </c>
      <c r="D137" s="20">
        <v>1.0</v>
      </c>
      <c r="E137" s="5" t="s">
        <v>170</v>
      </c>
      <c r="F137" s="5" t="s">
        <v>464</v>
      </c>
      <c r="G137" s="5" t="s">
        <v>463</v>
      </c>
      <c r="H137" s="20">
        <v>100.0</v>
      </c>
      <c r="I137" s="21">
        <v>45987.0</v>
      </c>
      <c r="J137" s="5" t="s">
        <v>461</v>
      </c>
    </row>
    <row r="138" ht="14.25" customHeight="1">
      <c r="A138" s="5" t="s">
        <v>475</v>
      </c>
      <c r="B138" s="5" t="s">
        <v>468</v>
      </c>
      <c r="C138" s="5" t="s">
        <v>462</v>
      </c>
      <c r="D138" s="20">
        <v>1.0</v>
      </c>
      <c r="E138" s="5" t="s">
        <v>170</v>
      </c>
      <c r="F138" s="5" t="s">
        <v>464</v>
      </c>
      <c r="G138" s="5" t="s">
        <v>465</v>
      </c>
      <c r="H138" s="20">
        <v>10.0</v>
      </c>
      <c r="I138" s="21">
        <v>45987.0</v>
      </c>
      <c r="J138" s="5" t="s">
        <v>461</v>
      </c>
    </row>
    <row r="139" ht="14.25" customHeight="1">
      <c r="A139" s="5" t="s">
        <v>475</v>
      </c>
      <c r="B139" s="5" t="s">
        <v>468</v>
      </c>
      <c r="C139" s="5" t="s">
        <v>462</v>
      </c>
      <c r="D139" s="20">
        <v>2.0</v>
      </c>
      <c r="E139" s="5" t="s">
        <v>170</v>
      </c>
      <c r="F139" s="5" t="s">
        <v>464</v>
      </c>
      <c r="G139" s="5" t="s">
        <v>465</v>
      </c>
      <c r="H139" s="20">
        <v>140.0</v>
      </c>
      <c r="I139" s="21">
        <v>45987.0</v>
      </c>
      <c r="J139" s="5" t="s">
        <v>461</v>
      </c>
    </row>
    <row r="140" ht="14.25" customHeight="1">
      <c r="A140" s="5" t="s">
        <v>475</v>
      </c>
      <c r="B140" s="5" t="s">
        <v>468</v>
      </c>
      <c r="C140" s="5" t="s">
        <v>462</v>
      </c>
      <c r="D140" s="20">
        <v>2.0</v>
      </c>
      <c r="E140" s="5" t="s">
        <v>174</v>
      </c>
      <c r="F140" s="5" t="s">
        <v>464</v>
      </c>
      <c r="G140" s="5" t="s">
        <v>460</v>
      </c>
      <c r="H140" s="20">
        <v>65.0</v>
      </c>
      <c r="I140" s="21">
        <v>45987.0</v>
      </c>
      <c r="J140" s="5" t="s">
        <v>461</v>
      </c>
    </row>
    <row r="141" ht="14.25" customHeight="1">
      <c r="A141" s="5" t="s">
        <v>475</v>
      </c>
      <c r="B141" s="5" t="s">
        <v>468</v>
      </c>
      <c r="C141" s="5" t="s">
        <v>462</v>
      </c>
      <c r="D141" s="20">
        <v>2.0</v>
      </c>
      <c r="E141" s="5" t="s">
        <v>174</v>
      </c>
      <c r="F141" s="5" t="s">
        <v>464</v>
      </c>
      <c r="G141" s="5" t="s">
        <v>463</v>
      </c>
      <c r="H141" s="20">
        <v>69.0</v>
      </c>
      <c r="I141" s="21">
        <v>45987.0</v>
      </c>
      <c r="J141" s="5" t="s">
        <v>461</v>
      </c>
    </row>
    <row r="142" ht="14.25" customHeight="1">
      <c r="A142" s="5" t="s">
        <v>475</v>
      </c>
      <c r="B142" s="5" t="s">
        <v>468</v>
      </c>
      <c r="C142" s="5" t="s">
        <v>462</v>
      </c>
      <c r="D142" s="20">
        <v>3.0</v>
      </c>
      <c r="E142" s="5" t="s">
        <v>174</v>
      </c>
      <c r="F142" s="5" t="s">
        <v>464</v>
      </c>
      <c r="G142" s="5" t="s">
        <v>469</v>
      </c>
      <c r="H142" s="20">
        <v>70.0</v>
      </c>
      <c r="I142" s="21">
        <v>45987.0</v>
      </c>
      <c r="J142" s="5" t="s">
        <v>461</v>
      </c>
    </row>
    <row r="143" ht="14.25" customHeight="1">
      <c r="A143" s="5" t="s">
        <v>475</v>
      </c>
      <c r="B143" s="5" t="s">
        <v>468</v>
      </c>
      <c r="C143" s="5" t="s">
        <v>462</v>
      </c>
      <c r="D143" s="20">
        <v>3.0</v>
      </c>
      <c r="E143" s="5" t="s">
        <v>178</v>
      </c>
      <c r="F143" s="5" t="s">
        <v>464</v>
      </c>
      <c r="G143" s="5" t="s">
        <v>463</v>
      </c>
      <c r="H143" s="20">
        <v>80.0</v>
      </c>
      <c r="I143" s="21">
        <v>45987.0</v>
      </c>
      <c r="J143" s="5" t="s">
        <v>461</v>
      </c>
    </row>
    <row r="144" ht="14.25" customHeight="1">
      <c r="A144" s="5" t="s">
        <v>475</v>
      </c>
      <c r="B144" s="5" t="s">
        <v>468</v>
      </c>
      <c r="C144" s="5" t="s">
        <v>462</v>
      </c>
      <c r="D144" s="20">
        <v>3.0</v>
      </c>
      <c r="E144" s="5" t="s">
        <v>180</v>
      </c>
      <c r="F144" s="5" t="s">
        <v>470</v>
      </c>
      <c r="G144" s="5" t="s">
        <v>469</v>
      </c>
      <c r="H144" s="20">
        <v>77.0</v>
      </c>
      <c r="I144" s="21">
        <v>45987.0</v>
      </c>
      <c r="J144" s="5" t="s">
        <v>461</v>
      </c>
    </row>
    <row r="145" ht="14.25" customHeight="1">
      <c r="A145" s="5" t="s">
        <v>475</v>
      </c>
      <c r="B145" s="5" t="s">
        <v>468</v>
      </c>
      <c r="C145" s="5" t="s">
        <v>462</v>
      </c>
      <c r="D145" s="20">
        <v>3.0</v>
      </c>
      <c r="E145" s="5" t="s">
        <v>180</v>
      </c>
      <c r="F145" s="5" t="s">
        <v>470</v>
      </c>
      <c r="G145" s="5" t="s">
        <v>465</v>
      </c>
      <c r="H145" s="20">
        <v>40.0</v>
      </c>
      <c r="I145" s="21">
        <v>45987.0</v>
      </c>
      <c r="J145" s="5" t="s">
        <v>461</v>
      </c>
    </row>
    <row r="146" ht="14.25" customHeight="1">
      <c r="A146" s="5" t="s">
        <v>475</v>
      </c>
      <c r="B146" s="5" t="s">
        <v>468</v>
      </c>
      <c r="C146" s="5" t="s">
        <v>462</v>
      </c>
      <c r="D146" s="20">
        <v>3.0</v>
      </c>
      <c r="E146" s="5" t="s">
        <v>180</v>
      </c>
      <c r="F146" s="5" t="s">
        <v>470</v>
      </c>
      <c r="G146" s="5" t="s">
        <v>466</v>
      </c>
      <c r="H146" s="20">
        <v>21.0</v>
      </c>
      <c r="I146" s="21">
        <v>45987.0</v>
      </c>
      <c r="J146" s="5" t="s">
        <v>461</v>
      </c>
    </row>
    <row r="147" ht="14.25" customHeight="1">
      <c r="A147" s="5" t="s">
        <v>475</v>
      </c>
      <c r="B147" s="5" t="s">
        <v>468</v>
      </c>
      <c r="C147" s="5" t="s">
        <v>462</v>
      </c>
      <c r="D147" s="20">
        <v>4.0</v>
      </c>
      <c r="E147" s="5" t="s">
        <v>180</v>
      </c>
      <c r="F147" s="5" t="s">
        <v>470</v>
      </c>
      <c r="G147" s="5" t="s">
        <v>466</v>
      </c>
      <c r="H147" s="20">
        <v>60.0</v>
      </c>
      <c r="I147" s="21">
        <v>45987.0</v>
      </c>
      <c r="J147" s="5" t="s">
        <v>461</v>
      </c>
    </row>
    <row r="148" ht="14.25" customHeight="1">
      <c r="A148" s="5" t="s">
        <v>475</v>
      </c>
      <c r="B148" s="5" t="s">
        <v>468</v>
      </c>
      <c r="C148" s="5" t="s">
        <v>462</v>
      </c>
      <c r="D148" s="20">
        <v>4.0</v>
      </c>
      <c r="E148" s="5" t="s">
        <v>167</v>
      </c>
      <c r="F148" s="5" t="s">
        <v>471</v>
      </c>
      <c r="G148" s="5" t="s">
        <v>466</v>
      </c>
      <c r="H148" s="20">
        <v>47.0</v>
      </c>
      <c r="I148" s="21">
        <v>45987.0</v>
      </c>
      <c r="J148" s="5" t="s">
        <v>461</v>
      </c>
    </row>
    <row r="149" ht="14.25" customHeight="1">
      <c r="A149" s="5" t="s">
        <v>475</v>
      </c>
      <c r="B149" s="5" t="s">
        <v>468</v>
      </c>
      <c r="C149" s="5" t="s">
        <v>462</v>
      </c>
      <c r="D149" s="20">
        <v>4.0</v>
      </c>
      <c r="E149" s="5" t="s">
        <v>167</v>
      </c>
      <c r="F149" s="5" t="s">
        <v>471</v>
      </c>
      <c r="G149" s="5" t="s">
        <v>465</v>
      </c>
      <c r="H149" s="20">
        <v>47.0</v>
      </c>
      <c r="I149" s="21">
        <v>45987.0</v>
      </c>
      <c r="J149" s="5" t="s">
        <v>461</v>
      </c>
    </row>
    <row r="150" ht="14.25" customHeight="1">
      <c r="A150" s="5" t="s">
        <v>475</v>
      </c>
      <c r="B150" s="5" t="s">
        <v>468</v>
      </c>
      <c r="C150" s="5" t="s">
        <v>462</v>
      </c>
      <c r="D150" s="20">
        <v>4.0</v>
      </c>
      <c r="E150" s="5" t="s">
        <v>167</v>
      </c>
      <c r="F150" s="5" t="s">
        <v>471</v>
      </c>
      <c r="G150" s="5" t="s">
        <v>463</v>
      </c>
      <c r="H150" s="20">
        <v>48.0</v>
      </c>
      <c r="I150" s="21">
        <v>45987.0</v>
      </c>
      <c r="J150" s="5" t="s">
        <v>461</v>
      </c>
    </row>
    <row r="151" ht="14.25" customHeight="1">
      <c r="A151" s="5" t="s">
        <v>475</v>
      </c>
      <c r="B151" s="5" t="s">
        <v>468</v>
      </c>
      <c r="C151" s="5" t="s">
        <v>462</v>
      </c>
      <c r="D151" s="20">
        <v>4.0</v>
      </c>
      <c r="E151" s="5" t="s">
        <v>167</v>
      </c>
      <c r="F151" s="5" t="s">
        <v>471</v>
      </c>
      <c r="G151" s="5" t="s">
        <v>460</v>
      </c>
      <c r="H151" s="20">
        <v>46.0</v>
      </c>
      <c r="I151" s="21">
        <v>45987.0</v>
      </c>
      <c r="J151" s="5" t="s">
        <v>461</v>
      </c>
    </row>
    <row r="152" ht="14.25" customHeight="1">
      <c r="A152" s="5" t="s">
        <v>475</v>
      </c>
      <c r="B152" s="5" t="s">
        <v>468</v>
      </c>
      <c r="C152" s="5" t="s">
        <v>462</v>
      </c>
      <c r="D152" s="20">
        <v>4.0</v>
      </c>
      <c r="E152" s="5" t="s">
        <v>188</v>
      </c>
      <c r="F152" s="5" t="s">
        <v>464</v>
      </c>
      <c r="G152" s="5" t="s">
        <v>466</v>
      </c>
      <c r="H152" s="20">
        <v>30.0</v>
      </c>
      <c r="I152" s="21">
        <v>45987.0</v>
      </c>
      <c r="J152" s="5" t="s">
        <v>461</v>
      </c>
    </row>
    <row r="153" ht="14.25" customHeight="1">
      <c r="A153" s="5" t="s">
        <v>475</v>
      </c>
      <c r="B153" s="5" t="s">
        <v>468</v>
      </c>
      <c r="C153" s="5" t="s">
        <v>462</v>
      </c>
      <c r="D153" s="20">
        <v>5.0</v>
      </c>
      <c r="E153" s="5" t="s">
        <v>188</v>
      </c>
      <c r="F153" s="5" t="s">
        <v>464</v>
      </c>
      <c r="G153" s="5" t="s">
        <v>466</v>
      </c>
      <c r="H153" s="20">
        <v>120.0</v>
      </c>
      <c r="I153" s="21">
        <v>45987.0</v>
      </c>
      <c r="J153" s="5" t="s">
        <v>461</v>
      </c>
    </row>
    <row r="154" ht="14.25" customHeight="1">
      <c r="A154" s="5" t="s">
        <v>475</v>
      </c>
      <c r="B154" s="5" t="s">
        <v>468</v>
      </c>
      <c r="C154" s="5" t="s">
        <v>462</v>
      </c>
      <c r="D154" s="20">
        <v>5.0</v>
      </c>
      <c r="E154" s="5" t="s">
        <v>188</v>
      </c>
      <c r="F154" s="5" t="s">
        <v>464</v>
      </c>
      <c r="G154" s="5" t="s">
        <v>465</v>
      </c>
      <c r="H154" s="20">
        <v>57.0</v>
      </c>
      <c r="I154" s="21">
        <v>45987.0</v>
      </c>
      <c r="J154" s="5" t="s">
        <v>461</v>
      </c>
    </row>
    <row r="155" ht="14.25" customHeight="1">
      <c r="A155" s="5" t="s">
        <v>475</v>
      </c>
      <c r="B155" s="5" t="s">
        <v>468</v>
      </c>
      <c r="C155" s="5" t="s">
        <v>462</v>
      </c>
      <c r="D155" s="20">
        <v>5.0</v>
      </c>
      <c r="E155" s="5" t="s">
        <v>191</v>
      </c>
      <c r="F155" s="5" t="s">
        <v>464</v>
      </c>
      <c r="G155" s="5" t="s">
        <v>466</v>
      </c>
      <c r="H155" s="20">
        <v>28.0</v>
      </c>
      <c r="I155" s="21">
        <v>45987.0</v>
      </c>
      <c r="J155" s="5" t="s">
        <v>461</v>
      </c>
    </row>
    <row r="156" ht="14.25" customHeight="1">
      <c r="A156" s="5" t="s">
        <v>475</v>
      </c>
      <c r="B156" s="5" t="s">
        <v>468</v>
      </c>
      <c r="C156" s="5" t="s">
        <v>462</v>
      </c>
      <c r="D156" s="20">
        <v>5.0</v>
      </c>
      <c r="E156" s="5" t="s">
        <v>191</v>
      </c>
      <c r="F156" s="5" t="s">
        <v>464</v>
      </c>
      <c r="G156" s="5" t="s">
        <v>465</v>
      </c>
      <c r="H156" s="20">
        <v>26.0</v>
      </c>
      <c r="I156" s="21">
        <v>45987.0</v>
      </c>
      <c r="J156" s="5" t="s">
        <v>461</v>
      </c>
    </row>
    <row r="157" ht="14.25" customHeight="1">
      <c r="A157" s="5" t="s">
        <v>475</v>
      </c>
      <c r="B157" s="5" t="s">
        <v>468</v>
      </c>
      <c r="C157" s="5" t="s">
        <v>462</v>
      </c>
      <c r="D157" s="20">
        <v>5.0</v>
      </c>
      <c r="E157" s="5" t="s">
        <v>191</v>
      </c>
      <c r="F157" s="5" t="s">
        <v>464</v>
      </c>
      <c r="G157" s="5" t="s">
        <v>469</v>
      </c>
      <c r="H157" s="20">
        <v>33.0</v>
      </c>
      <c r="I157" s="21">
        <v>45987.0</v>
      </c>
      <c r="J157" s="5" t="s">
        <v>461</v>
      </c>
    </row>
    <row r="158" ht="14.25" customHeight="1">
      <c r="A158" s="5" t="s">
        <v>475</v>
      </c>
      <c r="B158" s="5" t="s">
        <v>468</v>
      </c>
      <c r="C158" s="5" t="s">
        <v>462</v>
      </c>
      <c r="D158" s="20">
        <v>6.0</v>
      </c>
      <c r="E158" s="5" t="s">
        <v>191</v>
      </c>
      <c r="F158" s="5" t="s">
        <v>464</v>
      </c>
      <c r="G158" s="5" t="s">
        <v>469</v>
      </c>
      <c r="H158" s="20">
        <v>50.0</v>
      </c>
      <c r="I158" s="21">
        <v>45987.0</v>
      </c>
      <c r="J158" s="5" t="s">
        <v>461</v>
      </c>
    </row>
    <row r="159" ht="14.25" customHeight="1">
      <c r="A159" s="5" t="s">
        <v>475</v>
      </c>
      <c r="B159" s="5" t="s">
        <v>468</v>
      </c>
      <c r="C159" s="5" t="s">
        <v>462</v>
      </c>
      <c r="D159" s="20">
        <v>6.0</v>
      </c>
      <c r="E159" s="5" t="s">
        <v>167</v>
      </c>
      <c r="F159" s="5" t="s">
        <v>467</v>
      </c>
      <c r="G159" s="5" t="s">
        <v>460</v>
      </c>
      <c r="H159" s="20">
        <v>270.0</v>
      </c>
      <c r="I159" s="21">
        <v>45987.0</v>
      </c>
      <c r="J159" s="5" t="s">
        <v>461</v>
      </c>
    </row>
    <row r="160" ht="14.25" customHeight="1">
      <c r="A160" s="5" t="s">
        <v>475</v>
      </c>
      <c r="B160" s="5" t="s">
        <v>468</v>
      </c>
      <c r="C160" s="5" t="s">
        <v>462</v>
      </c>
      <c r="D160" s="20">
        <v>7.0</v>
      </c>
      <c r="E160" s="5" t="s">
        <v>167</v>
      </c>
      <c r="F160" s="5" t="s">
        <v>467</v>
      </c>
      <c r="G160" s="5" t="s">
        <v>469</v>
      </c>
      <c r="H160" s="20">
        <v>280.0</v>
      </c>
      <c r="I160" s="21">
        <v>45987.0</v>
      </c>
      <c r="J160" s="5" t="s">
        <v>461</v>
      </c>
    </row>
    <row r="161" ht="14.25" customHeight="1">
      <c r="A161" s="5" t="s">
        <v>475</v>
      </c>
      <c r="B161" s="5" t="s">
        <v>468</v>
      </c>
      <c r="C161" s="5" t="s">
        <v>462</v>
      </c>
      <c r="D161" s="20">
        <v>8.0</v>
      </c>
      <c r="E161" s="5" t="s">
        <v>167</v>
      </c>
      <c r="F161" s="5" t="s">
        <v>467</v>
      </c>
      <c r="G161" s="5" t="s">
        <v>469</v>
      </c>
      <c r="H161" s="20">
        <v>230.0</v>
      </c>
      <c r="I161" s="21">
        <v>45987.0</v>
      </c>
      <c r="J161" s="5" t="s">
        <v>461</v>
      </c>
    </row>
    <row r="162" ht="14.25" customHeight="1">
      <c r="A162" s="5" t="s">
        <v>475</v>
      </c>
      <c r="B162" s="5" t="s">
        <v>468</v>
      </c>
      <c r="C162" s="5" t="s">
        <v>462</v>
      </c>
      <c r="D162" s="20">
        <v>8.0</v>
      </c>
      <c r="E162" s="5" t="s">
        <v>167</v>
      </c>
      <c r="F162" s="5" t="s">
        <v>467</v>
      </c>
      <c r="G162" s="5" t="s">
        <v>465</v>
      </c>
      <c r="H162" s="20">
        <v>50.0</v>
      </c>
      <c r="I162" s="21">
        <v>45987.0</v>
      </c>
      <c r="J162" s="5" t="s">
        <v>461</v>
      </c>
    </row>
    <row r="163" ht="14.25" customHeight="1">
      <c r="A163" s="5" t="s">
        <v>475</v>
      </c>
      <c r="B163" s="5" t="s">
        <v>468</v>
      </c>
      <c r="C163" s="5" t="s">
        <v>462</v>
      </c>
      <c r="D163" s="20">
        <v>9.0</v>
      </c>
      <c r="E163" s="5" t="s">
        <v>167</v>
      </c>
      <c r="F163" s="5" t="s">
        <v>467</v>
      </c>
      <c r="G163" s="5" t="s">
        <v>465</v>
      </c>
      <c r="H163" s="20">
        <v>150.0</v>
      </c>
      <c r="I163" s="21">
        <v>45987.0</v>
      </c>
      <c r="J163" s="5" t="s">
        <v>461</v>
      </c>
    </row>
    <row r="164" ht="14.25" customHeight="1">
      <c r="A164" s="5" t="s">
        <v>475</v>
      </c>
      <c r="B164" s="5" t="s">
        <v>468</v>
      </c>
      <c r="C164" s="5" t="s">
        <v>462</v>
      </c>
      <c r="D164" s="20">
        <v>9.0</v>
      </c>
      <c r="E164" s="5" t="s">
        <v>167</v>
      </c>
      <c r="F164" s="5" t="s">
        <v>467</v>
      </c>
      <c r="G164" s="5" t="s">
        <v>466</v>
      </c>
      <c r="H164" s="20">
        <v>130.0</v>
      </c>
      <c r="I164" s="21">
        <v>45987.0</v>
      </c>
      <c r="J164" s="5" t="s">
        <v>461</v>
      </c>
    </row>
    <row r="165" ht="14.25" customHeight="1">
      <c r="A165" s="5" t="s">
        <v>475</v>
      </c>
      <c r="B165" s="5" t="s">
        <v>468</v>
      </c>
      <c r="C165" s="5" t="s">
        <v>462</v>
      </c>
      <c r="D165" s="20">
        <v>10.0</v>
      </c>
      <c r="E165" s="5" t="s">
        <v>167</v>
      </c>
      <c r="F165" s="5" t="s">
        <v>467</v>
      </c>
      <c r="G165" s="5" t="s">
        <v>466</v>
      </c>
      <c r="H165" s="20">
        <v>290.0</v>
      </c>
      <c r="I165" s="21">
        <v>45987.0</v>
      </c>
      <c r="J165" s="5" t="s">
        <v>461</v>
      </c>
    </row>
    <row r="166" ht="14.25" customHeight="1">
      <c r="A166" s="5" t="s">
        <v>475</v>
      </c>
      <c r="B166" s="5" t="s">
        <v>468</v>
      </c>
      <c r="C166" s="5" t="s">
        <v>462</v>
      </c>
      <c r="D166" s="20">
        <v>11.0</v>
      </c>
      <c r="E166" s="5" t="s">
        <v>178</v>
      </c>
      <c r="F166" s="5" t="s">
        <v>472</v>
      </c>
      <c r="G166" s="5" t="s">
        <v>469</v>
      </c>
      <c r="H166" s="20">
        <v>89.0</v>
      </c>
      <c r="I166" s="21">
        <v>45987.0</v>
      </c>
      <c r="J166" s="5" t="s">
        <v>461</v>
      </c>
    </row>
    <row r="167" ht="14.25" customHeight="1">
      <c r="A167" s="5" t="s">
        <v>475</v>
      </c>
      <c r="B167" s="5" t="s">
        <v>468</v>
      </c>
      <c r="C167" s="5" t="s">
        <v>462</v>
      </c>
      <c r="D167" s="20">
        <v>11.0</v>
      </c>
      <c r="E167" s="5" t="s">
        <v>188</v>
      </c>
      <c r="F167" s="5" t="s">
        <v>464</v>
      </c>
      <c r="G167" s="5" t="s">
        <v>465</v>
      </c>
      <c r="H167" s="20">
        <v>30.0</v>
      </c>
      <c r="I167" s="21">
        <v>45987.0</v>
      </c>
      <c r="J167" s="5" t="s">
        <v>461</v>
      </c>
    </row>
    <row r="168" ht="14.25" customHeight="1">
      <c r="A168" s="5" t="s">
        <v>475</v>
      </c>
      <c r="B168" s="5" t="s">
        <v>468</v>
      </c>
      <c r="C168" s="5" t="s">
        <v>462</v>
      </c>
      <c r="D168" s="20">
        <v>11.0</v>
      </c>
      <c r="E168" s="5" t="s">
        <v>167</v>
      </c>
      <c r="F168" s="5" t="s">
        <v>467</v>
      </c>
      <c r="G168" s="5" t="s">
        <v>463</v>
      </c>
      <c r="H168" s="20">
        <v>190.0</v>
      </c>
      <c r="I168" s="21">
        <v>45987.0</v>
      </c>
      <c r="J168" s="5" t="s">
        <v>461</v>
      </c>
    </row>
    <row r="169" ht="14.25" customHeight="1">
      <c r="A169" s="5" t="s">
        <v>475</v>
      </c>
      <c r="B169" s="5" t="s">
        <v>468</v>
      </c>
      <c r="C169" s="5" t="s">
        <v>462</v>
      </c>
      <c r="D169" s="20">
        <v>11.0</v>
      </c>
      <c r="E169" s="5" t="s">
        <v>167</v>
      </c>
      <c r="F169" s="5" t="s">
        <v>473</v>
      </c>
      <c r="G169" s="5" t="s">
        <v>463</v>
      </c>
      <c r="H169" s="20">
        <v>190.0</v>
      </c>
      <c r="I169" s="21">
        <v>45987.0</v>
      </c>
      <c r="J169" s="5" t="s">
        <v>461</v>
      </c>
    </row>
    <row r="170" ht="14.25" customHeight="1">
      <c r="A170" s="5" t="s">
        <v>475</v>
      </c>
      <c r="B170" s="5" t="s">
        <v>457</v>
      </c>
      <c r="C170" s="5" t="s">
        <v>458</v>
      </c>
      <c r="D170" s="20">
        <v>1.0</v>
      </c>
      <c r="E170" s="5" t="s">
        <v>161</v>
      </c>
      <c r="F170" s="5" t="s">
        <v>459</v>
      </c>
      <c r="G170" s="5" t="s">
        <v>460</v>
      </c>
      <c r="H170" s="20">
        <v>53.0</v>
      </c>
      <c r="I170" s="21">
        <v>45987.0</v>
      </c>
      <c r="J170" s="5" t="s">
        <v>461</v>
      </c>
    </row>
    <row r="171" ht="14.25" customHeight="1">
      <c r="A171" s="5" t="s">
        <v>475</v>
      </c>
      <c r="B171" s="5" t="s">
        <v>457</v>
      </c>
      <c r="C171" s="5" t="s">
        <v>462</v>
      </c>
      <c r="D171" s="20">
        <v>1.0</v>
      </c>
      <c r="E171" s="5" t="s">
        <v>161</v>
      </c>
      <c r="F171" s="5" t="s">
        <v>459</v>
      </c>
      <c r="G171" s="5" t="s">
        <v>463</v>
      </c>
      <c r="H171" s="20">
        <v>99.0</v>
      </c>
      <c r="I171" s="21">
        <v>45987.0</v>
      </c>
      <c r="J171" s="5" t="s">
        <v>461</v>
      </c>
    </row>
    <row r="172" ht="14.25" customHeight="1">
      <c r="A172" s="5" t="s">
        <v>475</v>
      </c>
      <c r="B172" s="5" t="s">
        <v>457</v>
      </c>
      <c r="C172" s="5" t="s">
        <v>462</v>
      </c>
      <c r="D172" s="20">
        <v>1.0</v>
      </c>
      <c r="E172" s="5" t="s">
        <v>161</v>
      </c>
      <c r="F172" s="5" t="s">
        <v>464</v>
      </c>
      <c r="G172" s="5" t="s">
        <v>463</v>
      </c>
      <c r="H172" s="20">
        <v>68.0</v>
      </c>
      <c r="I172" s="21">
        <v>45987.0</v>
      </c>
      <c r="J172" s="5" t="s">
        <v>461</v>
      </c>
    </row>
    <row r="173" ht="14.25" customHeight="1">
      <c r="A173" s="5" t="s">
        <v>475</v>
      </c>
      <c r="B173" s="5" t="s">
        <v>457</v>
      </c>
      <c r="C173" s="5" t="s">
        <v>462</v>
      </c>
      <c r="D173" s="20">
        <v>1.0</v>
      </c>
      <c r="E173" s="5" t="s">
        <v>161</v>
      </c>
      <c r="F173" s="5" t="s">
        <v>464</v>
      </c>
      <c r="G173" s="5" t="s">
        <v>465</v>
      </c>
      <c r="H173" s="20">
        <v>68.0</v>
      </c>
      <c r="I173" s="21">
        <v>45987.0</v>
      </c>
      <c r="J173" s="5" t="s">
        <v>461</v>
      </c>
    </row>
    <row r="174" ht="14.25" customHeight="1">
      <c r="A174" s="5" t="s">
        <v>475</v>
      </c>
      <c r="B174" s="5" t="s">
        <v>457</v>
      </c>
      <c r="C174" s="5" t="s">
        <v>462</v>
      </c>
      <c r="D174" s="20">
        <v>1.0</v>
      </c>
      <c r="E174" s="5" t="s">
        <v>161</v>
      </c>
      <c r="F174" s="5" t="s">
        <v>464</v>
      </c>
      <c r="G174" s="5" t="s">
        <v>466</v>
      </c>
      <c r="H174" s="20">
        <v>69.0</v>
      </c>
      <c r="I174" s="21">
        <v>45987.0</v>
      </c>
      <c r="J174" s="5" t="s">
        <v>461</v>
      </c>
    </row>
    <row r="175" ht="14.25" customHeight="1">
      <c r="A175" s="5" t="s">
        <v>475</v>
      </c>
      <c r="B175" s="5" t="s">
        <v>457</v>
      </c>
      <c r="C175" s="5" t="s">
        <v>462</v>
      </c>
      <c r="D175" s="20">
        <v>2.0</v>
      </c>
      <c r="E175" s="5" t="s">
        <v>161</v>
      </c>
      <c r="F175" s="5" t="s">
        <v>464</v>
      </c>
      <c r="G175" s="5" t="s">
        <v>466</v>
      </c>
      <c r="H175" s="20">
        <v>50.0</v>
      </c>
      <c r="I175" s="21">
        <v>45987.0</v>
      </c>
      <c r="J175" s="5" t="s">
        <v>461</v>
      </c>
    </row>
    <row r="176" ht="14.25" customHeight="1">
      <c r="A176" s="5" t="s">
        <v>475</v>
      </c>
      <c r="B176" s="5" t="s">
        <v>457</v>
      </c>
      <c r="C176" s="5" t="s">
        <v>462</v>
      </c>
      <c r="D176" s="20">
        <v>2.0</v>
      </c>
      <c r="E176" s="5" t="s">
        <v>167</v>
      </c>
      <c r="F176" s="5" t="s">
        <v>467</v>
      </c>
      <c r="G176" s="5" t="s">
        <v>463</v>
      </c>
      <c r="H176" s="20">
        <v>272.0</v>
      </c>
      <c r="I176" s="21">
        <v>45987.0</v>
      </c>
      <c r="J176" s="5" t="s">
        <v>461</v>
      </c>
    </row>
    <row r="177" ht="14.25" customHeight="1">
      <c r="A177" s="5" t="s">
        <v>475</v>
      </c>
      <c r="B177" s="5" t="s">
        <v>468</v>
      </c>
      <c r="C177" s="5" t="s">
        <v>462</v>
      </c>
      <c r="D177" s="20">
        <v>1.0</v>
      </c>
      <c r="E177" s="5" t="s">
        <v>161</v>
      </c>
      <c r="F177" s="5" t="s">
        <v>459</v>
      </c>
      <c r="G177" s="5" t="s">
        <v>466</v>
      </c>
      <c r="H177" s="20">
        <v>92.0</v>
      </c>
      <c r="I177" s="21">
        <v>45987.0</v>
      </c>
      <c r="J177" s="5" t="s">
        <v>461</v>
      </c>
    </row>
    <row r="178" ht="14.25" customHeight="1">
      <c r="A178" s="5" t="s">
        <v>475</v>
      </c>
      <c r="B178" s="5" t="s">
        <v>468</v>
      </c>
      <c r="C178" s="5" t="s">
        <v>462</v>
      </c>
      <c r="D178" s="20">
        <v>1.0</v>
      </c>
      <c r="E178" s="5" t="s">
        <v>170</v>
      </c>
      <c r="F178" s="5" t="s">
        <v>464</v>
      </c>
      <c r="G178" s="5" t="s">
        <v>460</v>
      </c>
      <c r="H178" s="20">
        <v>98.0</v>
      </c>
      <c r="I178" s="21">
        <v>45987.0</v>
      </c>
      <c r="J178" s="5" t="s">
        <v>461</v>
      </c>
    </row>
    <row r="179" ht="14.25" customHeight="1">
      <c r="A179" s="5" t="s">
        <v>475</v>
      </c>
      <c r="B179" s="5" t="s">
        <v>468</v>
      </c>
      <c r="C179" s="5" t="s">
        <v>462</v>
      </c>
      <c r="D179" s="20">
        <v>1.0</v>
      </c>
      <c r="E179" s="5" t="s">
        <v>170</v>
      </c>
      <c r="F179" s="5" t="s">
        <v>464</v>
      </c>
      <c r="G179" s="5" t="s">
        <v>463</v>
      </c>
      <c r="H179" s="20">
        <v>100.0</v>
      </c>
      <c r="I179" s="21">
        <v>45987.0</v>
      </c>
      <c r="J179" s="5" t="s">
        <v>461</v>
      </c>
    </row>
    <row r="180" ht="14.25" customHeight="1">
      <c r="A180" s="5" t="s">
        <v>475</v>
      </c>
      <c r="B180" s="5" t="s">
        <v>468</v>
      </c>
      <c r="C180" s="5" t="s">
        <v>462</v>
      </c>
      <c r="D180" s="20">
        <v>1.0</v>
      </c>
      <c r="E180" s="5" t="s">
        <v>170</v>
      </c>
      <c r="F180" s="5" t="s">
        <v>464</v>
      </c>
      <c r="G180" s="5" t="s">
        <v>465</v>
      </c>
      <c r="H180" s="20">
        <v>10.0</v>
      </c>
      <c r="I180" s="21">
        <v>45987.0</v>
      </c>
      <c r="J180" s="5" t="s">
        <v>461</v>
      </c>
    </row>
    <row r="181" ht="14.25" customHeight="1">
      <c r="A181" s="5" t="s">
        <v>475</v>
      </c>
      <c r="B181" s="5" t="s">
        <v>468</v>
      </c>
      <c r="C181" s="5" t="s">
        <v>462</v>
      </c>
      <c r="D181" s="20">
        <v>2.0</v>
      </c>
      <c r="E181" s="5" t="s">
        <v>170</v>
      </c>
      <c r="F181" s="5" t="s">
        <v>464</v>
      </c>
      <c r="G181" s="5" t="s">
        <v>465</v>
      </c>
      <c r="H181" s="20">
        <v>140.0</v>
      </c>
      <c r="I181" s="21">
        <v>45987.0</v>
      </c>
      <c r="J181" s="5" t="s">
        <v>461</v>
      </c>
    </row>
    <row r="182" ht="14.25" customHeight="1">
      <c r="A182" s="5" t="s">
        <v>475</v>
      </c>
      <c r="B182" s="5" t="s">
        <v>468</v>
      </c>
      <c r="C182" s="5" t="s">
        <v>462</v>
      </c>
      <c r="D182" s="20">
        <v>2.0</v>
      </c>
      <c r="E182" s="5" t="s">
        <v>174</v>
      </c>
      <c r="F182" s="5" t="s">
        <v>464</v>
      </c>
      <c r="G182" s="5" t="s">
        <v>460</v>
      </c>
      <c r="H182" s="20">
        <v>65.0</v>
      </c>
      <c r="I182" s="21">
        <v>45987.0</v>
      </c>
      <c r="J182" s="5" t="s">
        <v>461</v>
      </c>
    </row>
    <row r="183" ht="14.25" customHeight="1">
      <c r="A183" s="5" t="s">
        <v>475</v>
      </c>
      <c r="B183" s="5" t="s">
        <v>468</v>
      </c>
      <c r="C183" s="5" t="s">
        <v>462</v>
      </c>
      <c r="D183" s="20">
        <v>2.0</v>
      </c>
      <c r="E183" s="5" t="s">
        <v>174</v>
      </c>
      <c r="F183" s="5" t="s">
        <v>464</v>
      </c>
      <c r="G183" s="5" t="s">
        <v>463</v>
      </c>
      <c r="H183" s="20">
        <v>69.0</v>
      </c>
      <c r="I183" s="21">
        <v>45987.0</v>
      </c>
      <c r="J183" s="5" t="s">
        <v>461</v>
      </c>
    </row>
    <row r="184" ht="14.25" customHeight="1">
      <c r="A184" s="5" t="s">
        <v>475</v>
      </c>
      <c r="B184" s="5" t="s">
        <v>468</v>
      </c>
      <c r="C184" s="5" t="s">
        <v>462</v>
      </c>
      <c r="D184" s="20">
        <v>3.0</v>
      </c>
      <c r="E184" s="5" t="s">
        <v>174</v>
      </c>
      <c r="F184" s="5" t="s">
        <v>464</v>
      </c>
      <c r="G184" s="5" t="s">
        <v>469</v>
      </c>
      <c r="H184" s="20">
        <v>70.0</v>
      </c>
      <c r="I184" s="21">
        <v>45987.0</v>
      </c>
      <c r="J184" s="5" t="s">
        <v>461</v>
      </c>
    </row>
    <row r="185" ht="14.25" customHeight="1">
      <c r="A185" s="5" t="s">
        <v>475</v>
      </c>
      <c r="B185" s="5" t="s">
        <v>468</v>
      </c>
      <c r="C185" s="5" t="s">
        <v>462</v>
      </c>
      <c r="D185" s="20">
        <v>3.0</v>
      </c>
      <c r="E185" s="5" t="s">
        <v>178</v>
      </c>
      <c r="F185" s="5" t="s">
        <v>464</v>
      </c>
      <c r="G185" s="5" t="s">
        <v>463</v>
      </c>
      <c r="H185" s="20">
        <v>80.0</v>
      </c>
      <c r="I185" s="21">
        <v>45987.0</v>
      </c>
      <c r="J185" s="5" t="s">
        <v>461</v>
      </c>
    </row>
    <row r="186" ht="14.25" customHeight="1">
      <c r="A186" s="5" t="s">
        <v>475</v>
      </c>
      <c r="B186" s="5" t="s">
        <v>468</v>
      </c>
      <c r="C186" s="5" t="s">
        <v>462</v>
      </c>
      <c r="D186" s="20">
        <v>3.0</v>
      </c>
      <c r="E186" s="5" t="s">
        <v>180</v>
      </c>
      <c r="F186" s="5" t="s">
        <v>470</v>
      </c>
      <c r="G186" s="5" t="s">
        <v>469</v>
      </c>
      <c r="H186" s="20">
        <v>77.0</v>
      </c>
      <c r="I186" s="21">
        <v>45987.0</v>
      </c>
      <c r="J186" s="5" t="s">
        <v>461</v>
      </c>
    </row>
    <row r="187" ht="14.25" customHeight="1">
      <c r="A187" s="5" t="s">
        <v>475</v>
      </c>
      <c r="B187" s="5" t="s">
        <v>468</v>
      </c>
      <c r="C187" s="5" t="s">
        <v>462</v>
      </c>
      <c r="D187" s="20">
        <v>3.0</v>
      </c>
      <c r="E187" s="5" t="s">
        <v>180</v>
      </c>
      <c r="F187" s="5" t="s">
        <v>470</v>
      </c>
      <c r="G187" s="5" t="s">
        <v>465</v>
      </c>
      <c r="H187" s="20">
        <v>40.0</v>
      </c>
      <c r="I187" s="21">
        <v>45987.0</v>
      </c>
      <c r="J187" s="5" t="s">
        <v>461</v>
      </c>
    </row>
    <row r="188" ht="14.25" customHeight="1">
      <c r="A188" s="5" t="s">
        <v>475</v>
      </c>
      <c r="B188" s="5" t="s">
        <v>468</v>
      </c>
      <c r="C188" s="5" t="s">
        <v>462</v>
      </c>
      <c r="D188" s="20">
        <v>3.0</v>
      </c>
      <c r="E188" s="5" t="s">
        <v>180</v>
      </c>
      <c r="F188" s="5" t="s">
        <v>470</v>
      </c>
      <c r="G188" s="5" t="s">
        <v>466</v>
      </c>
      <c r="H188" s="20">
        <v>21.0</v>
      </c>
      <c r="I188" s="21">
        <v>45987.0</v>
      </c>
      <c r="J188" s="5" t="s">
        <v>461</v>
      </c>
    </row>
    <row r="189" ht="14.25" customHeight="1">
      <c r="A189" s="5" t="s">
        <v>475</v>
      </c>
      <c r="B189" s="5" t="s">
        <v>468</v>
      </c>
      <c r="C189" s="5" t="s">
        <v>462</v>
      </c>
      <c r="D189" s="20">
        <v>4.0</v>
      </c>
      <c r="E189" s="5" t="s">
        <v>180</v>
      </c>
      <c r="F189" s="5" t="s">
        <v>470</v>
      </c>
      <c r="G189" s="5" t="s">
        <v>466</v>
      </c>
      <c r="H189" s="20">
        <v>60.0</v>
      </c>
      <c r="I189" s="21">
        <v>45987.0</v>
      </c>
      <c r="J189" s="5" t="s">
        <v>461</v>
      </c>
    </row>
    <row r="190" ht="14.25" customHeight="1">
      <c r="A190" s="5" t="s">
        <v>475</v>
      </c>
      <c r="B190" s="5" t="s">
        <v>468</v>
      </c>
      <c r="C190" s="5" t="s">
        <v>462</v>
      </c>
      <c r="D190" s="20">
        <v>4.0</v>
      </c>
      <c r="E190" s="5" t="s">
        <v>167</v>
      </c>
      <c r="F190" s="5" t="s">
        <v>471</v>
      </c>
      <c r="G190" s="5" t="s">
        <v>466</v>
      </c>
      <c r="H190" s="20">
        <v>47.0</v>
      </c>
      <c r="I190" s="21">
        <v>45987.0</v>
      </c>
      <c r="J190" s="5" t="s">
        <v>461</v>
      </c>
    </row>
    <row r="191" ht="14.25" customHeight="1">
      <c r="A191" s="5" t="s">
        <v>475</v>
      </c>
      <c r="B191" s="5" t="s">
        <v>468</v>
      </c>
      <c r="C191" s="5" t="s">
        <v>462</v>
      </c>
      <c r="D191" s="20">
        <v>4.0</v>
      </c>
      <c r="E191" s="5" t="s">
        <v>167</v>
      </c>
      <c r="F191" s="5" t="s">
        <v>471</v>
      </c>
      <c r="G191" s="5" t="s">
        <v>465</v>
      </c>
      <c r="H191" s="20">
        <v>47.0</v>
      </c>
      <c r="I191" s="21">
        <v>45987.0</v>
      </c>
      <c r="J191" s="5" t="s">
        <v>461</v>
      </c>
    </row>
    <row r="192" ht="14.25" customHeight="1">
      <c r="A192" s="5" t="s">
        <v>475</v>
      </c>
      <c r="B192" s="5" t="s">
        <v>468</v>
      </c>
      <c r="C192" s="5" t="s">
        <v>462</v>
      </c>
      <c r="D192" s="20">
        <v>4.0</v>
      </c>
      <c r="E192" s="5" t="s">
        <v>167</v>
      </c>
      <c r="F192" s="5" t="s">
        <v>471</v>
      </c>
      <c r="G192" s="5" t="s">
        <v>463</v>
      </c>
      <c r="H192" s="20">
        <v>48.0</v>
      </c>
      <c r="I192" s="21">
        <v>45987.0</v>
      </c>
      <c r="J192" s="5" t="s">
        <v>461</v>
      </c>
    </row>
    <row r="193" ht="14.25" customHeight="1">
      <c r="A193" s="5" t="s">
        <v>475</v>
      </c>
      <c r="B193" s="5" t="s">
        <v>468</v>
      </c>
      <c r="C193" s="5" t="s">
        <v>462</v>
      </c>
      <c r="D193" s="20">
        <v>4.0</v>
      </c>
      <c r="E193" s="5" t="s">
        <v>167</v>
      </c>
      <c r="F193" s="5" t="s">
        <v>471</v>
      </c>
      <c r="G193" s="5" t="s">
        <v>460</v>
      </c>
      <c r="H193" s="20">
        <v>46.0</v>
      </c>
      <c r="I193" s="21">
        <v>45987.0</v>
      </c>
      <c r="J193" s="5" t="s">
        <v>461</v>
      </c>
    </row>
    <row r="194" ht="14.25" customHeight="1">
      <c r="A194" s="5" t="s">
        <v>475</v>
      </c>
      <c r="B194" s="5" t="s">
        <v>468</v>
      </c>
      <c r="C194" s="5" t="s">
        <v>462</v>
      </c>
      <c r="D194" s="20">
        <v>4.0</v>
      </c>
      <c r="E194" s="5" t="s">
        <v>188</v>
      </c>
      <c r="F194" s="5" t="s">
        <v>464</v>
      </c>
      <c r="G194" s="5" t="s">
        <v>466</v>
      </c>
      <c r="H194" s="20">
        <v>30.0</v>
      </c>
      <c r="I194" s="21">
        <v>45987.0</v>
      </c>
      <c r="J194" s="5" t="s">
        <v>461</v>
      </c>
    </row>
    <row r="195" ht="14.25" customHeight="1">
      <c r="A195" s="5" t="s">
        <v>475</v>
      </c>
      <c r="B195" s="5" t="s">
        <v>468</v>
      </c>
      <c r="C195" s="5" t="s">
        <v>462</v>
      </c>
      <c r="D195" s="20">
        <v>5.0</v>
      </c>
      <c r="E195" s="5" t="s">
        <v>188</v>
      </c>
      <c r="F195" s="5" t="s">
        <v>464</v>
      </c>
      <c r="G195" s="5" t="s">
        <v>466</v>
      </c>
      <c r="H195" s="20">
        <v>120.0</v>
      </c>
      <c r="I195" s="21">
        <v>45987.0</v>
      </c>
      <c r="J195" s="5" t="s">
        <v>461</v>
      </c>
    </row>
    <row r="196" ht="14.25" customHeight="1">
      <c r="A196" s="5" t="s">
        <v>475</v>
      </c>
      <c r="B196" s="5" t="s">
        <v>468</v>
      </c>
      <c r="C196" s="5" t="s">
        <v>462</v>
      </c>
      <c r="D196" s="20">
        <v>5.0</v>
      </c>
      <c r="E196" s="5" t="s">
        <v>188</v>
      </c>
      <c r="F196" s="5" t="s">
        <v>464</v>
      </c>
      <c r="G196" s="5" t="s">
        <v>465</v>
      </c>
      <c r="H196" s="20">
        <v>57.0</v>
      </c>
      <c r="I196" s="21">
        <v>45987.0</v>
      </c>
      <c r="J196" s="5" t="s">
        <v>461</v>
      </c>
    </row>
    <row r="197" ht="14.25" customHeight="1">
      <c r="A197" s="5" t="s">
        <v>475</v>
      </c>
      <c r="B197" s="5" t="s">
        <v>468</v>
      </c>
      <c r="C197" s="5" t="s">
        <v>462</v>
      </c>
      <c r="D197" s="20">
        <v>5.0</v>
      </c>
      <c r="E197" s="5" t="s">
        <v>191</v>
      </c>
      <c r="F197" s="5" t="s">
        <v>464</v>
      </c>
      <c r="G197" s="5" t="s">
        <v>466</v>
      </c>
      <c r="H197" s="20">
        <v>28.0</v>
      </c>
      <c r="I197" s="21">
        <v>45987.0</v>
      </c>
      <c r="J197" s="5" t="s">
        <v>461</v>
      </c>
    </row>
    <row r="198" ht="14.25" customHeight="1">
      <c r="A198" s="5" t="s">
        <v>475</v>
      </c>
      <c r="B198" s="5" t="s">
        <v>468</v>
      </c>
      <c r="C198" s="5" t="s">
        <v>462</v>
      </c>
      <c r="D198" s="20">
        <v>5.0</v>
      </c>
      <c r="E198" s="5" t="s">
        <v>191</v>
      </c>
      <c r="F198" s="5" t="s">
        <v>464</v>
      </c>
      <c r="G198" s="5" t="s">
        <v>465</v>
      </c>
      <c r="H198" s="20">
        <v>26.0</v>
      </c>
      <c r="I198" s="21">
        <v>45987.0</v>
      </c>
      <c r="J198" s="5" t="s">
        <v>461</v>
      </c>
    </row>
    <row r="199" ht="14.25" customHeight="1">
      <c r="A199" s="5" t="s">
        <v>475</v>
      </c>
      <c r="B199" s="5" t="s">
        <v>468</v>
      </c>
      <c r="C199" s="5" t="s">
        <v>462</v>
      </c>
      <c r="D199" s="20">
        <v>5.0</v>
      </c>
      <c r="E199" s="5" t="s">
        <v>191</v>
      </c>
      <c r="F199" s="5" t="s">
        <v>464</v>
      </c>
      <c r="G199" s="5" t="s">
        <v>469</v>
      </c>
      <c r="H199" s="20">
        <v>33.0</v>
      </c>
      <c r="I199" s="21">
        <v>45987.0</v>
      </c>
      <c r="J199" s="5" t="s">
        <v>461</v>
      </c>
    </row>
    <row r="200" ht="14.25" customHeight="1">
      <c r="A200" s="5" t="s">
        <v>475</v>
      </c>
      <c r="B200" s="5" t="s">
        <v>468</v>
      </c>
      <c r="C200" s="5" t="s">
        <v>462</v>
      </c>
      <c r="D200" s="20">
        <v>6.0</v>
      </c>
      <c r="E200" s="5" t="s">
        <v>191</v>
      </c>
      <c r="F200" s="5" t="s">
        <v>464</v>
      </c>
      <c r="G200" s="5" t="s">
        <v>469</v>
      </c>
      <c r="H200" s="20">
        <v>50.0</v>
      </c>
      <c r="I200" s="21">
        <v>45987.0</v>
      </c>
      <c r="J200" s="5" t="s">
        <v>461</v>
      </c>
    </row>
    <row r="201" ht="14.25" customHeight="1">
      <c r="A201" s="5" t="s">
        <v>475</v>
      </c>
      <c r="B201" s="5" t="s">
        <v>468</v>
      </c>
      <c r="C201" s="5" t="s">
        <v>462</v>
      </c>
      <c r="D201" s="20">
        <v>6.0</v>
      </c>
      <c r="E201" s="5" t="s">
        <v>167</v>
      </c>
      <c r="F201" s="5" t="s">
        <v>467</v>
      </c>
      <c r="G201" s="5" t="s">
        <v>460</v>
      </c>
      <c r="H201" s="20">
        <v>270.0</v>
      </c>
      <c r="I201" s="21">
        <v>45987.0</v>
      </c>
      <c r="J201" s="5" t="s">
        <v>461</v>
      </c>
    </row>
    <row r="202" ht="14.25" customHeight="1">
      <c r="A202" s="5" t="s">
        <v>475</v>
      </c>
      <c r="B202" s="5" t="s">
        <v>468</v>
      </c>
      <c r="C202" s="5" t="s">
        <v>462</v>
      </c>
      <c r="D202" s="20">
        <v>7.0</v>
      </c>
      <c r="E202" s="5" t="s">
        <v>167</v>
      </c>
      <c r="F202" s="5" t="s">
        <v>467</v>
      </c>
      <c r="G202" s="5" t="s">
        <v>469</v>
      </c>
      <c r="H202" s="20">
        <v>280.0</v>
      </c>
      <c r="I202" s="21">
        <v>45987.0</v>
      </c>
      <c r="J202" s="5" t="s">
        <v>461</v>
      </c>
    </row>
    <row r="203" ht="14.25" customHeight="1">
      <c r="A203" s="5" t="s">
        <v>475</v>
      </c>
      <c r="B203" s="5" t="s">
        <v>468</v>
      </c>
      <c r="C203" s="5" t="s">
        <v>462</v>
      </c>
      <c r="D203" s="20">
        <v>8.0</v>
      </c>
      <c r="E203" s="5" t="s">
        <v>167</v>
      </c>
      <c r="F203" s="5" t="s">
        <v>467</v>
      </c>
      <c r="G203" s="5" t="s">
        <v>469</v>
      </c>
      <c r="H203" s="20">
        <v>230.0</v>
      </c>
      <c r="I203" s="21">
        <v>45987.0</v>
      </c>
      <c r="J203" s="5" t="s">
        <v>461</v>
      </c>
    </row>
    <row r="204" ht="14.25" customHeight="1">
      <c r="A204" s="5" t="s">
        <v>475</v>
      </c>
      <c r="B204" s="5" t="s">
        <v>468</v>
      </c>
      <c r="C204" s="5" t="s">
        <v>462</v>
      </c>
      <c r="D204" s="20">
        <v>8.0</v>
      </c>
      <c r="E204" s="5" t="s">
        <v>167</v>
      </c>
      <c r="F204" s="5" t="s">
        <v>467</v>
      </c>
      <c r="G204" s="5" t="s">
        <v>465</v>
      </c>
      <c r="H204" s="20">
        <v>50.0</v>
      </c>
      <c r="I204" s="21">
        <v>45987.0</v>
      </c>
      <c r="J204" s="5" t="s">
        <v>461</v>
      </c>
    </row>
    <row r="205" ht="14.25" customHeight="1">
      <c r="A205" s="5" t="s">
        <v>475</v>
      </c>
      <c r="B205" s="5" t="s">
        <v>468</v>
      </c>
      <c r="C205" s="5" t="s">
        <v>462</v>
      </c>
      <c r="D205" s="20">
        <v>9.0</v>
      </c>
      <c r="E205" s="5" t="s">
        <v>167</v>
      </c>
      <c r="F205" s="5" t="s">
        <v>467</v>
      </c>
      <c r="G205" s="5" t="s">
        <v>465</v>
      </c>
      <c r="H205" s="20">
        <v>150.0</v>
      </c>
      <c r="I205" s="21">
        <v>45987.0</v>
      </c>
      <c r="J205" s="5" t="s">
        <v>461</v>
      </c>
    </row>
    <row r="206" ht="14.25" customHeight="1">
      <c r="A206" s="5" t="s">
        <v>475</v>
      </c>
      <c r="B206" s="5" t="s">
        <v>468</v>
      </c>
      <c r="C206" s="5" t="s">
        <v>462</v>
      </c>
      <c r="D206" s="20">
        <v>9.0</v>
      </c>
      <c r="E206" s="5" t="s">
        <v>167</v>
      </c>
      <c r="F206" s="5" t="s">
        <v>467</v>
      </c>
      <c r="G206" s="5" t="s">
        <v>466</v>
      </c>
      <c r="H206" s="20">
        <v>130.0</v>
      </c>
      <c r="I206" s="21">
        <v>45987.0</v>
      </c>
      <c r="J206" s="5" t="s">
        <v>461</v>
      </c>
    </row>
    <row r="207" ht="14.25" customHeight="1">
      <c r="A207" s="5" t="s">
        <v>475</v>
      </c>
      <c r="B207" s="5" t="s">
        <v>468</v>
      </c>
      <c r="C207" s="5" t="s">
        <v>462</v>
      </c>
      <c r="D207" s="20">
        <v>10.0</v>
      </c>
      <c r="E207" s="5" t="s">
        <v>167</v>
      </c>
      <c r="F207" s="5" t="s">
        <v>467</v>
      </c>
      <c r="G207" s="5" t="s">
        <v>466</v>
      </c>
      <c r="H207" s="20">
        <v>290.0</v>
      </c>
      <c r="I207" s="21">
        <v>45987.0</v>
      </c>
      <c r="J207" s="5" t="s">
        <v>461</v>
      </c>
    </row>
    <row r="208" ht="14.25" customHeight="1">
      <c r="A208" s="5" t="s">
        <v>475</v>
      </c>
      <c r="B208" s="5" t="s">
        <v>468</v>
      </c>
      <c r="C208" s="5" t="s">
        <v>462</v>
      </c>
      <c r="D208" s="20">
        <v>11.0</v>
      </c>
      <c r="E208" s="5" t="s">
        <v>178</v>
      </c>
      <c r="F208" s="5" t="s">
        <v>472</v>
      </c>
      <c r="G208" s="5" t="s">
        <v>469</v>
      </c>
      <c r="H208" s="20">
        <v>89.0</v>
      </c>
      <c r="I208" s="21">
        <v>45987.0</v>
      </c>
      <c r="J208" s="5" t="s">
        <v>461</v>
      </c>
    </row>
    <row r="209" ht="14.25" customHeight="1">
      <c r="A209" s="5" t="s">
        <v>475</v>
      </c>
      <c r="B209" s="5" t="s">
        <v>468</v>
      </c>
      <c r="C209" s="5" t="s">
        <v>462</v>
      </c>
      <c r="D209" s="20">
        <v>11.0</v>
      </c>
      <c r="E209" s="5" t="s">
        <v>188</v>
      </c>
      <c r="F209" s="5" t="s">
        <v>464</v>
      </c>
      <c r="G209" s="5" t="s">
        <v>465</v>
      </c>
      <c r="H209" s="20">
        <v>30.0</v>
      </c>
      <c r="I209" s="21">
        <v>45987.0</v>
      </c>
      <c r="J209" s="5" t="s">
        <v>461</v>
      </c>
    </row>
    <row r="210" ht="14.25" customHeight="1">
      <c r="A210" s="5" t="s">
        <v>475</v>
      </c>
      <c r="B210" s="5" t="s">
        <v>468</v>
      </c>
      <c r="C210" s="5" t="s">
        <v>462</v>
      </c>
      <c r="D210" s="20">
        <v>11.0</v>
      </c>
      <c r="E210" s="5" t="s">
        <v>167</v>
      </c>
      <c r="F210" s="5" t="s">
        <v>467</v>
      </c>
      <c r="G210" s="5" t="s">
        <v>463</v>
      </c>
      <c r="H210" s="20">
        <v>190.0</v>
      </c>
      <c r="I210" s="21">
        <v>45987.0</v>
      </c>
      <c r="J210" s="5" t="s">
        <v>461</v>
      </c>
    </row>
    <row r="211" ht="14.25" customHeight="1">
      <c r="A211" s="5" t="s">
        <v>475</v>
      </c>
      <c r="B211" s="5" t="s">
        <v>468</v>
      </c>
      <c r="C211" s="5" t="s">
        <v>462</v>
      </c>
      <c r="D211" s="20">
        <v>11.0</v>
      </c>
      <c r="E211" s="5" t="s">
        <v>167</v>
      </c>
      <c r="F211" s="5" t="s">
        <v>473</v>
      </c>
      <c r="G211" s="5" t="s">
        <v>463</v>
      </c>
      <c r="H211" s="20">
        <v>190.0</v>
      </c>
      <c r="I211" s="21">
        <v>45987.0</v>
      </c>
      <c r="J211" s="5" t="s">
        <v>461</v>
      </c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 ht="14.25" customHeight="1">
      <c r="A1" s="5" t="s">
        <v>448</v>
      </c>
      <c r="B1" s="22" t="s">
        <v>476</v>
      </c>
      <c r="C1" s="22" t="s">
        <v>477</v>
      </c>
      <c r="D1" s="22" t="s">
        <v>453</v>
      </c>
      <c r="E1" s="22" t="s">
        <v>478</v>
      </c>
      <c r="F1" s="22" t="s">
        <v>479</v>
      </c>
      <c r="G1" s="5" t="s">
        <v>480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4.25" customHeight="1">
      <c r="A2" s="17" t="s">
        <v>456</v>
      </c>
      <c r="B2" s="21">
        <v>45987.0</v>
      </c>
      <c r="C2" s="5" t="s">
        <v>481</v>
      </c>
      <c r="D2" s="20">
        <v>2050.0</v>
      </c>
      <c r="E2" s="20">
        <v>22.0</v>
      </c>
      <c r="F2" s="20">
        <v>45100.0</v>
      </c>
      <c r="G2" s="5" t="s">
        <v>482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4.25" customHeight="1">
      <c r="A3" s="17" t="s">
        <v>456</v>
      </c>
      <c r="B3" s="21">
        <v>45987.0</v>
      </c>
      <c r="C3" s="5" t="s">
        <v>161</v>
      </c>
      <c r="D3" s="20">
        <v>499.0</v>
      </c>
      <c r="E3" s="20">
        <v>33.0</v>
      </c>
      <c r="F3" s="20">
        <v>16467.0</v>
      </c>
      <c r="G3" s="5" t="s">
        <v>482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4.25" customHeight="1">
      <c r="A4" s="17" t="s">
        <v>456</v>
      </c>
      <c r="B4" s="21">
        <v>45987.0</v>
      </c>
      <c r="C4" s="5" t="s">
        <v>483</v>
      </c>
      <c r="D4" s="20">
        <v>348.0</v>
      </c>
      <c r="E4" s="20">
        <v>25.0</v>
      </c>
      <c r="F4" s="20">
        <v>8700.0</v>
      </c>
      <c r="G4" s="5" t="s">
        <v>482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4.25" customHeight="1">
      <c r="A5" s="17" t="s">
        <v>456</v>
      </c>
      <c r="B5" s="21">
        <v>45987.0</v>
      </c>
      <c r="C5" s="5" t="s">
        <v>484</v>
      </c>
      <c r="D5" s="20">
        <v>204.0</v>
      </c>
      <c r="E5" s="20">
        <v>32.0</v>
      </c>
      <c r="F5" s="20">
        <v>6528.0</v>
      </c>
      <c r="G5" s="5" t="s">
        <v>482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4.25" customHeight="1">
      <c r="A6" s="17" t="s">
        <v>456</v>
      </c>
      <c r="B6" s="21">
        <v>45987.0</v>
      </c>
      <c r="C6" s="5" t="s">
        <v>178</v>
      </c>
      <c r="D6" s="20">
        <v>169.0</v>
      </c>
      <c r="E6" s="20">
        <v>12.0</v>
      </c>
      <c r="F6" s="20">
        <v>2028.0</v>
      </c>
      <c r="G6" s="5" t="s">
        <v>482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4.25" customHeight="1">
      <c r="A7" s="17" t="s">
        <v>456</v>
      </c>
      <c r="B7" s="21">
        <v>45987.0</v>
      </c>
      <c r="C7" s="5" t="s">
        <v>180</v>
      </c>
      <c r="D7" s="20">
        <v>198.0</v>
      </c>
      <c r="E7" s="20">
        <v>26.0</v>
      </c>
      <c r="F7" s="20">
        <v>5148.0</v>
      </c>
      <c r="G7" s="5" t="s">
        <v>482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4.25" customHeight="1">
      <c r="A8" s="17" t="s">
        <v>456</v>
      </c>
      <c r="B8" s="21">
        <v>45987.0</v>
      </c>
      <c r="C8" s="5" t="s">
        <v>188</v>
      </c>
      <c r="D8" s="20">
        <v>237.0</v>
      </c>
      <c r="E8" s="20">
        <v>22.0</v>
      </c>
      <c r="F8" s="20">
        <v>5214.0</v>
      </c>
      <c r="G8" s="5" t="s">
        <v>482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4.25" customHeight="1">
      <c r="A9" s="17" t="s">
        <v>456</v>
      </c>
      <c r="B9" s="21">
        <v>45987.0</v>
      </c>
      <c r="C9" s="5" t="s">
        <v>191</v>
      </c>
      <c r="D9" s="20">
        <v>137.0</v>
      </c>
      <c r="E9" s="20">
        <v>23.0</v>
      </c>
      <c r="F9" s="20">
        <v>3151.0</v>
      </c>
      <c r="G9" s="5" t="s">
        <v>482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4.25" customHeight="1">
      <c r="A10" s="17" t="s">
        <v>456</v>
      </c>
      <c r="B10" s="21">
        <v>45987.0</v>
      </c>
      <c r="C10" s="5" t="s">
        <v>485</v>
      </c>
      <c r="D10" s="20">
        <v>75.0</v>
      </c>
      <c r="E10" s="20">
        <v>12.0</v>
      </c>
      <c r="F10" s="20">
        <v>900.0</v>
      </c>
      <c r="G10" s="5" t="s">
        <v>486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4.25" customHeight="1">
      <c r="A11" s="17" t="s">
        <v>456</v>
      </c>
      <c r="B11" s="21">
        <v>45987.0</v>
      </c>
      <c r="C11" s="5" t="s">
        <v>487</v>
      </c>
      <c r="D11" s="20">
        <v>1.0</v>
      </c>
      <c r="E11" s="20">
        <v>150.0</v>
      </c>
      <c r="F11" s="20">
        <v>150.0</v>
      </c>
      <c r="G11" s="5" t="s">
        <v>487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4.25" customHeight="1">
      <c r="A12" s="17" t="s">
        <v>474</v>
      </c>
      <c r="B12" s="21">
        <v>45987.0</v>
      </c>
      <c r="C12" s="5" t="s">
        <v>481</v>
      </c>
      <c r="D12" s="20">
        <v>2050.0</v>
      </c>
      <c r="E12" s="20">
        <v>22.0</v>
      </c>
      <c r="F12" s="20">
        <v>45100.0</v>
      </c>
      <c r="G12" s="5" t="s">
        <v>482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4.25" customHeight="1">
      <c r="A13" s="17" t="s">
        <v>474</v>
      </c>
      <c r="B13" s="21">
        <v>45987.0</v>
      </c>
      <c r="C13" s="5" t="s">
        <v>161</v>
      </c>
      <c r="D13" s="20">
        <v>499.0</v>
      </c>
      <c r="E13" s="20">
        <v>33.0</v>
      </c>
      <c r="F13" s="20">
        <v>16467.0</v>
      </c>
      <c r="G13" s="5" t="s">
        <v>482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4.25" customHeight="1">
      <c r="A14" s="17" t="s">
        <v>474</v>
      </c>
      <c r="B14" s="21">
        <v>45987.0</v>
      </c>
      <c r="C14" s="5" t="s">
        <v>483</v>
      </c>
      <c r="D14" s="20">
        <v>348.0</v>
      </c>
      <c r="E14" s="20">
        <v>25.0</v>
      </c>
      <c r="F14" s="20">
        <v>8700.0</v>
      </c>
      <c r="G14" s="5" t="s">
        <v>482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4.25" customHeight="1">
      <c r="A15" s="17" t="s">
        <v>474</v>
      </c>
      <c r="B15" s="21">
        <v>45987.0</v>
      </c>
      <c r="C15" s="5" t="s">
        <v>484</v>
      </c>
      <c r="D15" s="20">
        <v>204.0</v>
      </c>
      <c r="E15" s="20">
        <v>32.0</v>
      </c>
      <c r="F15" s="20">
        <v>6528.0</v>
      </c>
      <c r="G15" s="5" t="s">
        <v>482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4.25" customHeight="1">
      <c r="A16" s="17" t="s">
        <v>474</v>
      </c>
      <c r="B16" s="21">
        <v>45987.0</v>
      </c>
      <c r="C16" s="5" t="s">
        <v>178</v>
      </c>
      <c r="D16" s="20">
        <v>169.0</v>
      </c>
      <c r="E16" s="20">
        <v>12.0</v>
      </c>
      <c r="F16" s="20">
        <v>2028.0</v>
      </c>
      <c r="G16" s="5" t="s">
        <v>482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4.25" customHeight="1">
      <c r="A17" s="17" t="s">
        <v>474</v>
      </c>
      <c r="B17" s="21">
        <v>45987.0</v>
      </c>
      <c r="C17" s="5" t="s">
        <v>180</v>
      </c>
      <c r="D17" s="20">
        <v>198.0</v>
      </c>
      <c r="E17" s="20">
        <v>26.0</v>
      </c>
      <c r="F17" s="20">
        <v>5148.0</v>
      </c>
      <c r="G17" s="5" t="s">
        <v>482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4.25" customHeight="1">
      <c r="A18" s="17" t="s">
        <v>474</v>
      </c>
      <c r="B18" s="21">
        <v>45987.0</v>
      </c>
      <c r="C18" s="5" t="s">
        <v>188</v>
      </c>
      <c r="D18" s="20">
        <v>237.0</v>
      </c>
      <c r="E18" s="20">
        <v>22.0</v>
      </c>
      <c r="F18" s="20">
        <v>5214.0</v>
      </c>
      <c r="G18" s="5" t="s">
        <v>482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4.25" customHeight="1">
      <c r="A19" s="17" t="s">
        <v>474</v>
      </c>
      <c r="B19" s="21">
        <v>45987.0</v>
      </c>
      <c r="C19" s="5" t="s">
        <v>191</v>
      </c>
      <c r="D19" s="20">
        <v>137.0</v>
      </c>
      <c r="E19" s="20">
        <v>23.0</v>
      </c>
      <c r="F19" s="20">
        <v>3151.0</v>
      </c>
      <c r="G19" s="5" t="s">
        <v>482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4.25" customHeight="1">
      <c r="A20" s="17" t="s">
        <v>474</v>
      </c>
      <c r="B20" s="21">
        <v>45987.0</v>
      </c>
      <c r="C20" s="5" t="s">
        <v>485</v>
      </c>
      <c r="D20" s="20">
        <v>75.0</v>
      </c>
      <c r="E20" s="20">
        <v>12.0</v>
      </c>
      <c r="F20" s="20">
        <v>900.0</v>
      </c>
      <c r="G20" s="5" t="s">
        <v>486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4.25" customHeight="1">
      <c r="A21" s="17" t="s">
        <v>474</v>
      </c>
      <c r="B21" s="21">
        <v>45987.0</v>
      </c>
      <c r="C21" s="5" t="s">
        <v>487</v>
      </c>
      <c r="D21" s="20">
        <v>1.0</v>
      </c>
      <c r="E21" s="20">
        <v>150.0</v>
      </c>
      <c r="F21" s="20">
        <v>150.0</v>
      </c>
      <c r="G21" s="5" t="s">
        <v>487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4.25" customHeight="1">
      <c r="A22" s="17" t="s">
        <v>475</v>
      </c>
      <c r="B22" s="21">
        <v>45987.0</v>
      </c>
      <c r="C22" s="5" t="s">
        <v>481</v>
      </c>
      <c r="D22" s="20">
        <v>2050.0</v>
      </c>
      <c r="E22" s="20">
        <v>22.0</v>
      </c>
      <c r="F22" s="20">
        <v>45100.0</v>
      </c>
      <c r="G22" s="5" t="s">
        <v>482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4.25" customHeight="1">
      <c r="A23" s="17" t="s">
        <v>475</v>
      </c>
      <c r="B23" s="21">
        <v>45987.0</v>
      </c>
      <c r="C23" s="5" t="s">
        <v>161</v>
      </c>
      <c r="D23" s="20">
        <v>499.0</v>
      </c>
      <c r="E23" s="20">
        <v>33.0</v>
      </c>
      <c r="F23" s="20">
        <v>16467.0</v>
      </c>
      <c r="G23" s="5" t="s">
        <v>482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4.25" customHeight="1">
      <c r="A24" s="17" t="s">
        <v>475</v>
      </c>
      <c r="B24" s="21">
        <v>45987.0</v>
      </c>
      <c r="C24" s="5" t="s">
        <v>483</v>
      </c>
      <c r="D24" s="20">
        <v>348.0</v>
      </c>
      <c r="E24" s="20">
        <v>25.0</v>
      </c>
      <c r="F24" s="20">
        <v>8700.0</v>
      </c>
      <c r="G24" s="5" t="s">
        <v>482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4.25" customHeight="1">
      <c r="A25" s="17" t="s">
        <v>475</v>
      </c>
      <c r="B25" s="21">
        <v>45987.0</v>
      </c>
      <c r="C25" s="5" t="s">
        <v>484</v>
      </c>
      <c r="D25" s="20">
        <v>204.0</v>
      </c>
      <c r="E25" s="20">
        <v>32.0</v>
      </c>
      <c r="F25" s="20">
        <v>6528.0</v>
      </c>
      <c r="G25" s="5" t="s">
        <v>482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4.25" customHeight="1">
      <c r="A26" s="17" t="s">
        <v>475</v>
      </c>
      <c r="B26" s="21">
        <v>45987.0</v>
      </c>
      <c r="C26" s="5" t="s">
        <v>178</v>
      </c>
      <c r="D26" s="20">
        <v>169.0</v>
      </c>
      <c r="E26" s="20">
        <v>12.0</v>
      </c>
      <c r="F26" s="20">
        <v>2028.0</v>
      </c>
      <c r="G26" s="5" t="s">
        <v>482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4.25" customHeight="1">
      <c r="A27" s="17" t="s">
        <v>475</v>
      </c>
      <c r="B27" s="21">
        <v>45987.0</v>
      </c>
      <c r="C27" s="5" t="s">
        <v>180</v>
      </c>
      <c r="D27" s="20">
        <v>198.0</v>
      </c>
      <c r="E27" s="20">
        <v>26.0</v>
      </c>
      <c r="F27" s="20">
        <v>5148.0</v>
      </c>
      <c r="G27" s="5" t="s">
        <v>482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4.25" customHeight="1">
      <c r="A28" s="17" t="s">
        <v>475</v>
      </c>
      <c r="B28" s="21">
        <v>45987.0</v>
      </c>
      <c r="C28" s="5" t="s">
        <v>188</v>
      </c>
      <c r="D28" s="20">
        <v>237.0</v>
      </c>
      <c r="E28" s="20">
        <v>22.0</v>
      </c>
      <c r="F28" s="20">
        <v>5214.0</v>
      </c>
      <c r="G28" s="5" t="s">
        <v>482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4.25" customHeight="1">
      <c r="A29" s="17" t="s">
        <v>475</v>
      </c>
      <c r="B29" s="21">
        <v>45987.0</v>
      </c>
      <c r="C29" s="5" t="s">
        <v>191</v>
      </c>
      <c r="D29" s="20">
        <v>137.0</v>
      </c>
      <c r="E29" s="20">
        <v>23.0</v>
      </c>
      <c r="F29" s="20">
        <v>3151.0</v>
      </c>
      <c r="G29" s="5" t="s">
        <v>482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4.25" customHeight="1">
      <c r="A30" s="17" t="s">
        <v>475</v>
      </c>
      <c r="B30" s="21">
        <v>45987.0</v>
      </c>
      <c r="C30" s="5" t="s">
        <v>485</v>
      </c>
      <c r="D30" s="20">
        <v>75.0</v>
      </c>
      <c r="E30" s="20">
        <v>12.0</v>
      </c>
      <c r="F30" s="20">
        <v>900.0</v>
      </c>
      <c r="G30" s="5" t="s">
        <v>486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4.25" customHeight="1">
      <c r="A31" s="17" t="s">
        <v>475</v>
      </c>
      <c r="B31" s="21">
        <v>45987.0</v>
      </c>
      <c r="C31" s="5" t="s">
        <v>487</v>
      </c>
      <c r="D31" s="20">
        <v>1.0</v>
      </c>
      <c r="E31" s="20">
        <v>150.0</v>
      </c>
      <c r="F31" s="20">
        <v>150.0</v>
      </c>
      <c r="G31" s="5" t="s">
        <v>487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4.25" customHeight="1">
      <c r="A32" s="17" t="s">
        <v>475</v>
      </c>
      <c r="B32" s="21">
        <v>45987.0</v>
      </c>
      <c r="C32" s="5" t="s">
        <v>481</v>
      </c>
      <c r="D32" s="20">
        <v>2050.0</v>
      </c>
      <c r="E32" s="20">
        <v>22.0</v>
      </c>
      <c r="F32" s="20">
        <v>45100.0</v>
      </c>
      <c r="G32" s="5" t="s">
        <v>482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4.25" customHeight="1">
      <c r="A33" s="17" t="s">
        <v>475</v>
      </c>
      <c r="B33" s="21">
        <v>45987.0</v>
      </c>
      <c r="C33" s="5" t="s">
        <v>161</v>
      </c>
      <c r="D33" s="20">
        <v>499.0</v>
      </c>
      <c r="E33" s="20">
        <v>33.0</v>
      </c>
      <c r="F33" s="20">
        <v>16467.0</v>
      </c>
      <c r="G33" s="5" t="s">
        <v>482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4.25" customHeight="1">
      <c r="A34" s="17" t="s">
        <v>475</v>
      </c>
      <c r="B34" s="21">
        <v>45987.0</v>
      </c>
      <c r="C34" s="5" t="s">
        <v>483</v>
      </c>
      <c r="D34" s="20">
        <v>348.0</v>
      </c>
      <c r="E34" s="20">
        <v>25.0</v>
      </c>
      <c r="F34" s="20">
        <v>8700.0</v>
      </c>
      <c r="G34" s="5" t="s">
        <v>482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4.25" customHeight="1">
      <c r="A35" s="17" t="s">
        <v>475</v>
      </c>
      <c r="B35" s="21">
        <v>45987.0</v>
      </c>
      <c r="C35" s="5" t="s">
        <v>484</v>
      </c>
      <c r="D35" s="20">
        <v>204.0</v>
      </c>
      <c r="E35" s="20">
        <v>32.0</v>
      </c>
      <c r="F35" s="20">
        <v>6528.0</v>
      </c>
      <c r="G35" s="5" t="s">
        <v>482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4.25" customHeight="1">
      <c r="A36" s="17" t="s">
        <v>475</v>
      </c>
      <c r="B36" s="21">
        <v>45987.0</v>
      </c>
      <c r="C36" s="5" t="s">
        <v>178</v>
      </c>
      <c r="D36" s="20">
        <v>169.0</v>
      </c>
      <c r="E36" s="20">
        <v>12.0</v>
      </c>
      <c r="F36" s="20">
        <v>2028.0</v>
      </c>
      <c r="G36" s="5" t="s">
        <v>482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4.25" customHeight="1">
      <c r="A37" s="17" t="s">
        <v>475</v>
      </c>
      <c r="B37" s="21">
        <v>45987.0</v>
      </c>
      <c r="C37" s="5" t="s">
        <v>180</v>
      </c>
      <c r="D37" s="20">
        <v>198.0</v>
      </c>
      <c r="E37" s="20">
        <v>26.0</v>
      </c>
      <c r="F37" s="20">
        <v>5148.0</v>
      </c>
      <c r="G37" s="5" t="s">
        <v>482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4.25" customHeight="1">
      <c r="A38" s="17" t="s">
        <v>475</v>
      </c>
      <c r="B38" s="21">
        <v>45987.0</v>
      </c>
      <c r="C38" s="5" t="s">
        <v>188</v>
      </c>
      <c r="D38" s="20">
        <v>237.0</v>
      </c>
      <c r="E38" s="20">
        <v>22.0</v>
      </c>
      <c r="F38" s="20">
        <v>5214.0</v>
      </c>
      <c r="G38" s="5" t="s">
        <v>482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4.25" customHeight="1">
      <c r="A39" s="17" t="s">
        <v>475</v>
      </c>
      <c r="B39" s="21">
        <v>45987.0</v>
      </c>
      <c r="C39" s="5" t="s">
        <v>191</v>
      </c>
      <c r="D39" s="20">
        <v>137.0</v>
      </c>
      <c r="E39" s="20">
        <v>23.0</v>
      </c>
      <c r="F39" s="20">
        <v>3151.0</v>
      </c>
      <c r="G39" s="5" t="s">
        <v>482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4.25" customHeight="1">
      <c r="A40" s="17" t="s">
        <v>475</v>
      </c>
      <c r="B40" s="21">
        <v>45987.0</v>
      </c>
      <c r="C40" s="5" t="s">
        <v>485</v>
      </c>
      <c r="D40" s="20">
        <v>75.0</v>
      </c>
      <c r="E40" s="20">
        <v>12.0</v>
      </c>
      <c r="F40" s="20">
        <v>900.0</v>
      </c>
      <c r="G40" s="5" t="s">
        <v>486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4.25" customHeight="1">
      <c r="A41" s="17" t="s">
        <v>475</v>
      </c>
      <c r="B41" s="21">
        <v>45987.0</v>
      </c>
      <c r="C41" s="5" t="s">
        <v>487</v>
      </c>
      <c r="D41" s="20">
        <v>1.0</v>
      </c>
      <c r="E41" s="20">
        <v>150.0</v>
      </c>
      <c r="F41" s="20">
        <v>150.0</v>
      </c>
      <c r="G41" s="5" t="s">
        <v>487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4.25" customHeight="1">
      <c r="A42" s="17" t="s">
        <v>475</v>
      </c>
      <c r="B42" s="21">
        <v>45987.0</v>
      </c>
      <c r="C42" s="5" t="s">
        <v>481</v>
      </c>
      <c r="D42" s="20">
        <v>2050.0</v>
      </c>
      <c r="E42" s="20">
        <v>22.0</v>
      </c>
      <c r="F42" s="20">
        <v>45100.0</v>
      </c>
      <c r="G42" s="5" t="s">
        <v>482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4.25" customHeight="1">
      <c r="A43" s="17" t="s">
        <v>475</v>
      </c>
      <c r="B43" s="21">
        <v>45987.0</v>
      </c>
      <c r="C43" s="5" t="s">
        <v>161</v>
      </c>
      <c r="D43" s="20">
        <v>499.0</v>
      </c>
      <c r="E43" s="20">
        <v>33.0</v>
      </c>
      <c r="F43" s="20">
        <v>16467.0</v>
      </c>
      <c r="G43" s="5" t="s">
        <v>482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4.25" customHeight="1">
      <c r="A44" s="17" t="s">
        <v>475</v>
      </c>
      <c r="B44" s="21">
        <v>45987.0</v>
      </c>
      <c r="C44" s="5" t="s">
        <v>483</v>
      </c>
      <c r="D44" s="20">
        <v>348.0</v>
      </c>
      <c r="E44" s="20">
        <v>25.0</v>
      </c>
      <c r="F44" s="20">
        <v>8700.0</v>
      </c>
      <c r="G44" s="5" t="s">
        <v>482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4.25" customHeight="1">
      <c r="A45" s="17" t="s">
        <v>475</v>
      </c>
      <c r="B45" s="21">
        <v>45987.0</v>
      </c>
      <c r="C45" s="5" t="s">
        <v>484</v>
      </c>
      <c r="D45" s="20">
        <v>204.0</v>
      </c>
      <c r="E45" s="20">
        <v>32.0</v>
      </c>
      <c r="F45" s="20">
        <v>6528.0</v>
      </c>
      <c r="G45" s="5" t="s">
        <v>482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4.25" customHeight="1">
      <c r="A46" s="17" t="s">
        <v>475</v>
      </c>
      <c r="B46" s="21">
        <v>45987.0</v>
      </c>
      <c r="C46" s="5" t="s">
        <v>178</v>
      </c>
      <c r="D46" s="20">
        <v>169.0</v>
      </c>
      <c r="E46" s="20">
        <v>12.0</v>
      </c>
      <c r="F46" s="20">
        <v>2028.0</v>
      </c>
      <c r="G46" s="5" t="s">
        <v>482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4.25" customHeight="1">
      <c r="A47" s="17" t="s">
        <v>475</v>
      </c>
      <c r="B47" s="21">
        <v>45987.0</v>
      </c>
      <c r="C47" s="5" t="s">
        <v>180</v>
      </c>
      <c r="D47" s="20">
        <v>198.0</v>
      </c>
      <c r="E47" s="20">
        <v>26.0</v>
      </c>
      <c r="F47" s="20">
        <v>5148.0</v>
      </c>
      <c r="G47" s="5" t="s">
        <v>482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4.25" customHeight="1">
      <c r="A48" s="17" t="s">
        <v>475</v>
      </c>
      <c r="B48" s="21">
        <v>45987.0</v>
      </c>
      <c r="C48" s="5" t="s">
        <v>188</v>
      </c>
      <c r="D48" s="20">
        <v>237.0</v>
      </c>
      <c r="E48" s="20">
        <v>22.0</v>
      </c>
      <c r="F48" s="20">
        <v>5214.0</v>
      </c>
      <c r="G48" s="5" t="s">
        <v>482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4.25" customHeight="1">
      <c r="A49" s="17" t="s">
        <v>475</v>
      </c>
      <c r="B49" s="21">
        <v>45987.0</v>
      </c>
      <c r="C49" s="5" t="s">
        <v>191</v>
      </c>
      <c r="D49" s="20">
        <v>137.0</v>
      </c>
      <c r="E49" s="20">
        <v>23.0</v>
      </c>
      <c r="F49" s="20">
        <v>3151.0</v>
      </c>
      <c r="G49" s="5" t="s">
        <v>482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4.25" customHeight="1">
      <c r="A50" s="17" t="s">
        <v>475</v>
      </c>
      <c r="B50" s="21">
        <v>45987.0</v>
      </c>
      <c r="C50" s="5" t="s">
        <v>485</v>
      </c>
      <c r="D50" s="20">
        <v>75.0</v>
      </c>
      <c r="E50" s="20">
        <v>12.0</v>
      </c>
      <c r="F50" s="20">
        <v>900.0</v>
      </c>
      <c r="G50" s="5" t="s">
        <v>486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4.25" customHeight="1">
      <c r="A51" s="17" t="s">
        <v>475</v>
      </c>
      <c r="B51" s="21">
        <v>45987.0</v>
      </c>
      <c r="C51" s="5" t="s">
        <v>487</v>
      </c>
      <c r="D51" s="20">
        <v>1.0</v>
      </c>
      <c r="E51" s="20">
        <v>150.0</v>
      </c>
      <c r="F51" s="20">
        <v>150.0</v>
      </c>
      <c r="G51" s="5" t="s">
        <v>487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5" t="s">
        <v>488</v>
      </c>
      <c r="B1" s="5" t="s">
        <v>489</v>
      </c>
      <c r="C1" s="5" t="s">
        <v>490</v>
      </c>
    </row>
    <row r="2" ht="14.25" customHeight="1">
      <c r="A2" s="23" t="s">
        <v>459</v>
      </c>
      <c r="B2" s="23" t="s">
        <v>491</v>
      </c>
      <c r="C2" s="5" t="s">
        <v>492</v>
      </c>
    </row>
    <row r="3" ht="14.25" customHeight="1">
      <c r="A3" s="23" t="s">
        <v>464</v>
      </c>
      <c r="B3" s="23" t="s">
        <v>493</v>
      </c>
      <c r="C3" s="23" t="s">
        <v>494</v>
      </c>
    </row>
    <row r="4" ht="14.25" customHeight="1">
      <c r="A4" s="23" t="s">
        <v>467</v>
      </c>
      <c r="B4" s="23" t="s">
        <v>495</v>
      </c>
      <c r="C4" s="23" t="s">
        <v>496</v>
      </c>
    </row>
    <row r="5" ht="14.25" customHeight="1">
      <c r="A5" s="23" t="s">
        <v>497</v>
      </c>
      <c r="B5" s="5" t="s">
        <v>470</v>
      </c>
      <c r="C5" s="23" t="s">
        <v>498</v>
      </c>
    </row>
    <row r="6" ht="14.25" customHeight="1">
      <c r="A6" s="5" t="s">
        <v>499</v>
      </c>
      <c r="B6" s="5" t="s">
        <v>471</v>
      </c>
      <c r="C6" s="23" t="s">
        <v>500</v>
      </c>
    </row>
    <row r="7" ht="14.25" customHeight="1">
      <c r="A7" s="23" t="s">
        <v>472</v>
      </c>
      <c r="B7" s="23" t="s">
        <v>501</v>
      </c>
      <c r="C7" s="23" t="s">
        <v>502</v>
      </c>
    </row>
    <row r="8" ht="14.25" customHeight="1">
      <c r="A8" s="23" t="s">
        <v>503</v>
      </c>
      <c r="B8" s="23" t="s">
        <v>504</v>
      </c>
      <c r="C8" s="23" t="s">
        <v>505</v>
      </c>
    </row>
    <row r="9" ht="14.25" customHeight="1">
      <c r="A9" s="23" t="s">
        <v>506</v>
      </c>
      <c r="B9" s="23" t="s">
        <v>507</v>
      </c>
      <c r="C9" s="23" t="s">
        <v>508</v>
      </c>
    </row>
    <row r="10" ht="14.25" customHeight="1">
      <c r="A10" s="23" t="s">
        <v>509</v>
      </c>
      <c r="B10" s="23" t="s">
        <v>509</v>
      </c>
      <c r="C10" s="5" t="s">
        <v>510</v>
      </c>
    </row>
    <row r="11" ht="14.25" customHeight="1">
      <c r="A11" s="23" t="s">
        <v>511</v>
      </c>
      <c r="B11" s="23" t="s">
        <v>512</v>
      </c>
      <c r="C11" s="23" t="s">
        <v>513</v>
      </c>
    </row>
    <row r="12" ht="14.25" customHeight="1">
      <c r="A12" s="23" t="s">
        <v>514</v>
      </c>
      <c r="B12" s="23" t="s">
        <v>515</v>
      </c>
      <c r="C12" s="23" t="s">
        <v>516</v>
      </c>
    </row>
    <row r="13" ht="14.25" customHeight="1">
      <c r="A13" s="23" t="s">
        <v>517</v>
      </c>
      <c r="B13" s="23" t="s">
        <v>518</v>
      </c>
      <c r="C13" s="23" t="s">
        <v>519</v>
      </c>
    </row>
    <row r="14" ht="14.25" customHeight="1">
      <c r="A14" s="23" t="s">
        <v>520</v>
      </c>
      <c r="B14" s="23" t="s">
        <v>521</v>
      </c>
      <c r="C14" s="23" t="s">
        <v>522</v>
      </c>
    </row>
    <row r="15" ht="14.25" customHeight="1">
      <c r="A15" s="23" t="s">
        <v>517</v>
      </c>
      <c r="B15" s="23" t="s">
        <v>518</v>
      </c>
      <c r="C15" s="23" t="s">
        <v>523</v>
      </c>
    </row>
    <row r="16" ht="14.25" customHeight="1">
      <c r="A16" s="23" t="s">
        <v>473</v>
      </c>
      <c r="B16" s="23" t="s">
        <v>473</v>
      </c>
      <c r="C16" s="23" t="s">
        <v>510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 ht="14.25" customHeight="1">
      <c r="A1" s="5" t="s">
        <v>448</v>
      </c>
      <c r="B1" s="5" t="s">
        <v>449</v>
      </c>
      <c r="C1" s="17" t="s">
        <v>450</v>
      </c>
      <c r="D1" s="17" t="s">
        <v>451</v>
      </c>
      <c r="E1" s="17" t="s">
        <v>452</v>
      </c>
      <c r="F1" s="17" t="s">
        <v>8</v>
      </c>
      <c r="G1" s="17" t="s">
        <v>9</v>
      </c>
      <c r="H1" s="17" t="s">
        <v>453</v>
      </c>
      <c r="I1" s="5" t="s">
        <v>454</v>
      </c>
      <c r="J1" s="5" t="s">
        <v>455</v>
      </c>
      <c r="K1" s="24" t="s">
        <v>490</v>
      </c>
      <c r="L1" s="24" t="s">
        <v>524</v>
      </c>
      <c r="M1" s="24" t="s">
        <v>525</v>
      </c>
      <c r="N1" s="24" t="s">
        <v>526</v>
      </c>
    </row>
    <row r="2" ht="14.25" customHeight="1">
      <c r="A2" s="17" t="s">
        <v>456</v>
      </c>
      <c r="B2" s="17" t="s">
        <v>457</v>
      </c>
      <c r="C2" s="17" t="s">
        <v>458</v>
      </c>
      <c r="D2" s="18">
        <v>1.0</v>
      </c>
      <c r="E2" s="17" t="s">
        <v>161</v>
      </c>
      <c r="F2" s="17" t="s">
        <v>459</v>
      </c>
      <c r="G2" s="17" t="s">
        <v>460</v>
      </c>
      <c r="H2" s="18">
        <v>53.0</v>
      </c>
      <c r="I2" s="19">
        <v>45987.0</v>
      </c>
      <c r="J2" s="5" t="s">
        <v>461</v>
      </c>
      <c r="K2" s="5" t="str">
        <f t="array" ref="K2">IFERROR(
    XLOOKUP(F2, '颜色对照表'!A:A, '颜色对照表'!C:C),
    IFERROR(
        XLOOKUP(F2, '颜色对照表'!B:B, '颜色对照表'!C:C),
        "未匹配到颜色"
    )
)
</f>
        <v>white</v>
      </c>
      <c r="L2" s="5" t="str">
        <f t="shared" ref="L2:L44" si="1">E2&amp;"_"&amp;K2&amp;"_"&amp;G2</f>
        <v>S537_white_M</v>
      </c>
      <c r="M2" s="20">
        <f>IFERROR(__xludf.DUMMYFUNCTION("INDEX(FILTER('对账单'!$E$2:$E1000, '对账单'!$A$2:$A1000 = A2, '对账单'!$G$2:$G1000 = E2),1)"),33.0)</f>
        <v>33</v>
      </c>
      <c r="N2" s="20">
        <f>IFERROR(__xludf.DUMMYFUNCTION("IFERROR(
    INDEX(
        FILTER('商品表'!$A:$IV, '商品表'!$A:$A = L2),
        1,
        MATCH(C2 &amp; ""：费用"", '商品表'!$1:$1, 0)
    ),
    ""无数据""
)
"),1.0)</f>
        <v>1</v>
      </c>
    </row>
    <row r="3" ht="14.25" customHeight="1">
      <c r="A3" s="17" t="s">
        <v>456</v>
      </c>
      <c r="B3" s="17" t="s">
        <v>457</v>
      </c>
      <c r="C3" s="17" t="s">
        <v>462</v>
      </c>
      <c r="D3" s="18">
        <v>1.0</v>
      </c>
      <c r="E3" s="17" t="s">
        <v>161</v>
      </c>
      <c r="F3" s="17" t="s">
        <v>459</v>
      </c>
      <c r="G3" s="17" t="s">
        <v>463</v>
      </c>
      <c r="H3" s="18">
        <v>99.0</v>
      </c>
      <c r="I3" s="19">
        <v>45987.0</v>
      </c>
      <c r="J3" s="5" t="s">
        <v>461</v>
      </c>
      <c r="K3" s="5" t="str">
        <f t="array" ref="K3">IFERROR(
    XLOOKUP(F3, '颜色对照表'!A:A, '颜色对照表'!C:C),
    IFERROR(
        XLOOKUP(F3, '颜色对照表'!B:B, '颜色对照表'!C:C),
        "未匹配到颜色"
    )
)
</f>
        <v>white</v>
      </c>
      <c r="L3" s="5" t="str">
        <f t="shared" si="1"/>
        <v>S537_white_L</v>
      </c>
      <c r="M3" s="20">
        <f>IFERROR(__xludf.DUMMYFUNCTION("INDEX(FILTER('对账单'!$E$2:$E1000, '对账单'!$A$2:$A1000 = A3, '对账单'!$G$2:$G1000 = E3),1)"),33.0)</f>
        <v>33</v>
      </c>
      <c r="N3" s="20">
        <f>IFERROR(__xludf.DUMMYFUNCTION("IFERROR(
    INDEX(
        FILTER('商品表'!$A:$IV, '商品表'!$A:$A = L3),
        1,
        MATCH(C3 &amp; ""：费用"", '商品表'!$1:$1, 0)
    ),
    ""无数据""
)
"),1.2)</f>
        <v>1.2</v>
      </c>
    </row>
    <row r="4" ht="14.25" customHeight="1">
      <c r="A4" s="17" t="s">
        <v>456</v>
      </c>
      <c r="B4" s="17" t="s">
        <v>457</v>
      </c>
      <c r="C4" s="17" t="s">
        <v>462</v>
      </c>
      <c r="D4" s="18">
        <v>1.0</v>
      </c>
      <c r="E4" s="17" t="s">
        <v>161</v>
      </c>
      <c r="F4" s="17" t="s">
        <v>464</v>
      </c>
      <c r="G4" s="17" t="s">
        <v>463</v>
      </c>
      <c r="H4" s="18">
        <v>68.0</v>
      </c>
      <c r="I4" s="19">
        <v>45987.0</v>
      </c>
      <c r="J4" s="5" t="s">
        <v>461</v>
      </c>
      <c r="K4" s="5" t="str">
        <f t="array" ref="K4">IFERROR(
    XLOOKUP(F4, '颜色对照表'!A:A, '颜色对照表'!C:C),
    IFERROR(
        XLOOKUP(F4, '颜色对照表'!B:B, '颜色对照表'!C:C),
        "未匹配到颜色"
    )
)
</f>
        <v>black</v>
      </c>
      <c r="L4" s="5" t="str">
        <f t="shared" si="1"/>
        <v>S537_black_L</v>
      </c>
      <c r="M4" s="20">
        <f>IFERROR(__xludf.DUMMYFUNCTION("INDEX(FILTER('对账单'!$E$2:$E1000, '对账单'!$A$2:$A1000 = A4, '对账单'!$G$2:$G1000 = E4),1)"),33.0)</f>
        <v>33</v>
      </c>
      <c r="N4" s="20">
        <f>IFERROR(__xludf.DUMMYFUNCTION("IFERROR(
    INDEX(
        FILTER('商品表'!$A:$IV, '商品表'!$A:$A = L4),
        1,
        MATCH(C4 &amp; ""：费用"", '商品表'!$1:$1, 0)
    ),
    ""无数据""
)
"),1.2)</f>
        <v>1.2</v>
      </c>
    </row>
    <row r="5" ht="14.25" customHeight="1">
      <c r="A5" s="17" t="s">
        <v>456</v>
      </c>
      <c r="B5" s="17" t="s">
        <v>457</v>
      </c>
      <c r="C5" s="17" t="s">
        <v>462</v>
      </c>
      <c r="D5" s="18">
        <v>1.0</v>
      </c>
      <c r="E5" s="17" t="s">
        <v>161</v>
      </c>
      <c r="F5" s="17" t="s">
        <v>464</v>
      </c>
      <c r="G5" s="17" t="s">
        <v>465</v>
      </c>
      <c r="H5" s="18">
        <v>68.0</v>
      </c>
      <c r="I5" s="19">
        <v>45987.0</v>
      </c>
      <c r="J5" s="5" t="s">
        <v>461</v>
      </c>
      <c r="K5" s="5" t="str">
        <f t="array" ref="K5">IFERROR(
    XLOOKUP(F5, '颜色对照表'!A:A, '颜色对照表'!C:C),
    IFERROR(
        XLOOKUP(F5, '颜色对照表'!B:B, '颜色对照表'!C:C),
        "未匹配到颜色"
    )
)
</f>
        <v>black</v>
      </c>
      <c r="L5" s="5" t="str">
        <f t="shared" si="1"/>
        <v>S537_black_2XL</v>
      </c>
      <c r="M5" s="20">
        <f>IFERROR(__xludf.DUMMYFUNCTION("INDEX(FILTER('对账单'!$E$2:$E1000, '对账单'!$A$2:$A1000 = A5, '对账单'!$G$2:$G1000 = E5),1)"),33.0)</f>
        <v>33</v>
      </c>
      <c r="N5" s="20">
        <f>IFERROR(__xludf.DUMMYFUNCTION("IFERROR(
    INDEX(
        FILTER('商品表'!$A:$IV, '商品表'!$A:$A = L5),
        1,
        MATCH(C5 &amp; ""：费用"", '商品表'!$1:$1, 0)
    ),
    ""无数据""
)
"),1.2)</f>
        <v>1.2</v>
      </c>
    </row>
    <row r="6" ht="14.25" customHeight="1">
      <c r="A6" s="17" t="s">
        <v>456</v>
      </c>
      <c r="B6" s="17" t="s">
        <v>457</v>
      </c>
      <c r="C6" s="17" t="s">
        <v>462</v>
      </c>
      <c r="D6" s="18">
        <v>1.0</v>
      </c>
      <c r="E6" s="17" t="s">
        <v>161</v>
      </c>
      <c r="F6" s="17" t="s">
        <v>464</v>
      </c>
      <c r="G6" s="17" t="s">
        <v>466</v>
      </c>
      <c r="H6" s="18">
        <v>69.0</v>
      </c>
      <c r="I6" s="19">
        <v>45987.0</v>
      </c>
      <c r="J6" s="5" t="s">
        <v>461</v>
      </c>
      <c r="K6" s="5" t="str">
        <f t="array" ref="K6">IFERROR(
    XLOOKUP(F6, '颜色对照表'!A:A, '颜色对照表'!C:C),
    IFERROR(
        XLOOKUP(F6, '颜色对照表'!B:B, '颜色对照表'!C:C),
        "未匹配到颜色"
    )
)
</f>
        <v>black</v>
      </c>
      <c r="L6" s="5" t="str">
        <f t="shared" si="1"/>
        <v>S537_black_3XL</v>
      </c>
      <c r="M6" s="20">
        <f>IFERROR(__xludf.DUMMYFUNCTION("INDEX(FILTER('对账单'!$E$2:$E1000, '对账单'!$A$2:$A1000 = A6, '对账单'!$G$2:$G1000 = E6),1)"),33.0)</f>
        <v>33</v>
      </c>
      <c r="N6" s="20">
        <f>IFERROR(__xludf.DUMMYFUNCTION("IFERROR(
    INDEX(
        FILTER('商品表'!$A:$IV, '商品表'!$A:$A = L6),
        1,
        MATCH(C6 &amp; ""：费用"", '商品表'!$1:$1, 0)
    ),
    ""无数据""
)
"),1.2)</f>
        <v>1.2</v>
      </c>
    </row>
    <row r="7" ht="14.25" customHeight="1">
      <c r="A7" s="17" t="s">
        <v>456</v>
      </c>
      <c r="B7" s="17" t="s">
        <v>457</v>
      </c>
      <c r="C7" s="17" t="s">
        <v>462</v>
      </c>
      <c r="D7" s="18">
        <v>2.0</v>
      </c>
      <c r="E7" s="17" t="s">
        <v>161</v>
      </c>
      <c r="F7" s="17" t="s">
        <v>464</v>
      </c>
      <c r="G7" s="17" t="s">
        <v>466</v>
      </c>
      <c r="H7" s="18">
        <v>50.0</v>
      </c>
      <c r="I7" s="19">
        <v>45987.0</v>
      </c>
      <c r="J7" s="5" t="s">
        <v>461</v>
      </c>
      <c r="K7" s="5" t="str">
        <f t="array" ref="K7">IFERROR(
    XLOOKUP(F7, '颜色对照表'!A:A, '颜色对照表'!C:C),
    IFERROR(
        XLOOKUP(F7, '颜色对照表'!B:B, '颜色对照表'!C:C),
        "未匹配到颜色"
    )
)
</f>
        <v>black</v>
      </c>
      <c r="L7" s="5" t="str">
        <f t="shared" si="1"/>
        <v>S537_black_3XL</v>
      </c>
      <c r="M7" s="20">
        <f>IFERROR(__xludf.DUMMYFUNCTION("INDEX(FILTER('对账单'!$E$2:$E1000, '对账单'!$A$2:$A1000 = A7, '对账单'!$G$2:$G1000 = E7),1)"),33.0)</f>
        <v>33</v>
      </c>
      <c r="N7" s="20">
        <f>IFERROR(__xludf.DUMMYFUNCTION("IFERROR(
    INDEX(
        FILTER('商品表'!$A:$IV, '商品表'!$A:$A = L7),
        1,
        MATCH(C7 &amp; ""：费用"", '商品表'!$1:$1, 0)
    ),
    ""无数据""
)
"),1.2)</f>
        <v>1.2</v>
      </c>
    </row>
    <row r="8" ht="14.25" customHeight="1">
      <c r="A8" s="17" t="s">
        <v>456</v>
      </c>
      <c r="B8" s="17" t="s">
        <v>457</v>
      </c>
      <c r="C8" s="17" t="s">
        <v>462</v>
      </c>
      <c r="D8" s="18">
        <v>2.0</v>
      </c>
      <c r="E8" s="17" t="s">
        <v>167</v>
      </c>
      <c r="F8" s="17" t="s">
        <v>467</v>
      </c>
      <c r="G8" s="17" t="s">
        <v>463</v>
      </c>
      <c r="H8" s="18">
        <v>272.0</v>
      </c>
      <c r="I8" s="19">
        <v>45987.0</v>
      </c>
      <c r="J8" s="5" t="s">
        <v>461</v>
      </c>
      <c r="K8" s="5" t="str">
        <f t="array" ref="K8">IFERROR(
    XLOOKUP(F8, '颜色对照表'!A:A, '颜色对照表'!C:C),
    IFERROR(
        XLOOKUP(F8, '颜色对照表'!B:B, '颜色对照表'!C:C),
        "未匹配到颜色"
    )
)
</f>
        <v>gray</v>
      </c>
      <c r="L8" s="5" t="str">
        <f t="shared" si="1"/>
        <v>S596_gray_L</v>
      </c>
      <c r="M8" s="20" t="str">
        <f>IFERROR(__xludf.DUMMYFUNCTION("INDEX(FILTER('对账单'!$E$2:$E1000, '对账单'!$A$2:$A1000 = A8, '对账单'!$G$2:$G1000 = E8),1)"),"#N/A")</f>
        <v>#N/A</v>
      </c>
      <c r="N8" s="20">
        <f>IFERROR(__xludf.DUMMYFUNCTION("IFERROR(
    INDEX(
        FILTER('商品表'!$A:$IV, '商品表'!$A:$A = L8),
        1,
        MATCH(C8 &amp; ""：费用"", '商品表'!$1:$1, 0)
    ),
    ""无数据""
)
"),1.2)</f>
        <v>1.2</v>
      </c>
    </row>
    <row r="9" ht="14.25" customHeight="1">
      <c r="A9" s="17" t="s">
        <v>456</v>
      </c>
      <c r="B9" s="17" t="s">
        <v>468</v>
      </c>
      <c r="C9" s="17" t="s">
        <v>462</v>
      </c>
      <c r="D9" s="18">
        <v>1.0</v>
      </c>
      <c r="E9" s="17" t="s">
        <v>161</v>
      </c>
      <c r="F9" s="17" t="s">
        <v>459</v>
      </c>
      <c r="G9" s="17" t="s">
        <v>466</v>
      </c>
      <c r="H9" s="18">
        <v>92.0</v>
      </c>
      <c r="I9" s="19">
        <v>45987.0</v>
      </c>
      <c r="J9" s="5" t="s">
        <v>461</v>
      </c>
      <c r="K9" s="5" t="str">
        <f t="array" ref="K9">IFERROR(
    XLOOKUP(F9, '颜色对照表'!A:A, '颜色对照表'!C:C),
    IFERROR(
        XLOOKUP(F9, '颜色对照表'!B:B, '颜色对照表'!C:C),
        "未匹配到颜色"
    )
)
</f>
        <v>white</v>
      </c>
      <c r="L9" s="5" t="str">
        <f t="shared" si="1"/>
        <v>S537_white_3XL</v>
      </c>
      <c r="M9" s="20">
        <f>IFERROR(__xludf.DUMMYFUNCTION("INDEX(FILTER('对账单'!$E$2:$E1000, '对账单'!$A$2:$A1000 = A9, '对账单'!$G$2:$G1000 = E9),1)"),33.0)</f>
        <v>33</v>
      </c>
      <c r="N9" s="20">
        <f>IFERROR(__xludf.DUMMYFUNCTION("IFERROR(
    INDEX(
        FILTER('商品表'!$A:$IV, '商品表'!$A:$A = L9),
        1,
        MATCH(C9 &amp; ""：费用"", '商品表'!$1:$1, 0)
    ),
    ""无数据""
)
"),1.2)</f>
        <v>1.2</v>
      </c>
    </row>
    <row r="10" ht="14.25" customHeight="1">
      <c r="A10" s="17" t="s">
        <v>456</v>
      </c>
      <c r="B10" s="17" t="s">
        <v>468</v>
      </c>
      <c r="C10" s="17" t="s">
        <v>462</v>
      </c>
      <c r="D10" s="18">
        <v>1.0</v>
      </c>
      <c r="E10" s="17" t="s">
        <v>170</v>
      </c>
      <c r="F10" s="17" t="s">
        <v>464</v>
      </c>
      <c r="G10" s="17" t="s">
        <v>460</v>
      </c>
      <c r="H10" s="18">
        <v>98.0</v>
      </c>
      <c r="I10" s="19">
        <v>45987.0</v>
      </c>
      <c r="J10" s="5" t="s">
        <v>461</v>
      </c>
      <c r="K10" s="5" t="str">
        <f t="array" ref="K10">IFERROR(
    XLOOKUP(F10, '颜色对照表'!A:A, '颜色对照表'!C:C),
    IFERROR(
        XLOOKUP(F10, '颜色对照表'!B:B, '颜色对照表'!C:C),
        "未匹配到颜色"
    )
)
</f>
        <v>black</v>
      </c>
      <c r="L10" s="5" t="str">
        <f t="shared" si="1"/>
        <v>S671_black_M</v>
      </c>
      <c r="M10" s="20">
        <f>IFERROR(__xludf.DUMMYFUNCTION("INDEX(FILTER('对账单'!$E$2:$E1000, '对账单'!$A$2:$A1000 = A10, '对账单'!$G$2:$G1000 = E10),1)"),25.0)</f>
        <v>25</v>
      </c>
      <c r="N10" s="20">
        <f>IFERROR(__xludf.DUMMYFUNCTION("IFERROR(
    INDEX(
        FILTER('商品表'!$A:$IV, '商品表'!$A:$A = L10),
        1,
        MATCH(C10 &amp; ""：费用"", '商品表'!$1:$1, 0)
    ),
    ""无数据""
)
"),1.2)</f>
        <v>1.2</v>
      </c>
    </row>
    <row r="11" ht="14.25" customHeight="1">
      <c r="A11" s="17" t="s">
        <v>456</v>
      </c>
      <c r="B11" s="17" t="s">
        <v>468</v>
      </c>
      <c r="C11" s="17" t="s">
        <v>462</v>
      </c>
      <c r="D11" s="18">
        <v>1.0</v>
      </c>
      <c r="E11" s="17" t="s">
        <v>170</v>
      </c>
      <c r="F11" s="17" t="s">
        <v>464</v>
      </c>
      <c r="G11" s="17" t="s">
        <v>463</v>
      </c>
      <c r="H11" s="18">
        <v>100.0</v>
      </c>
      <c r="I11" s="19">
        <v>45987.0</v>
      </c>
      <c r="J11" s="5" t="s">
        <v>461</v>
      </c>
      <c r="K11" s="5" t="str">
        <f t="array" ref="K11">IFERROR(
    XLOOKUP(F11, '颜色对照表'!A:A, '颜色对照表'!C:C),
    IFERROR(
        XLOOKUP(F11, '颜色对照表'!B:B, '颜色对照表'!C:C),
        "未匹配到颜色"
    )
)
</f>
        <v>black</v>
      </c>
      <c r="L11" s="5" t="str">
        <f t="shared" si="1"/>
        <v>S671_black_L</v>
      </c>
      <c r="M11" s="20">
        <f>IFERROR(__xludf.DUMMYFUNCTION("INDEX(FILTER('对账单'!$E$2:$E1000, '对账单'!$A$2:$A1000 = A11, '对账单'!$G$2:$G1000 = E11),1)"),25.0)</f>
        <v>25</v>
      </c>
      <c r="N11" s="20">
        <f>IFERROR(__xludf.DUMMYFUNCTION("IFERROR(
    INDEX(
        FILTER('商品表'!$A:$IV, '商品表'!$A:$A = L11),
        1,
        MATCH(C11 &amp; ""：费用"", '商品表'!$1:$1, 0)
    ),
    ""无数据""
)
"),1.2)</f>
        <v>1.2</v>
      </c>
    </row>
    <row r="12" ht="14.25" customHeight="1">
      <c r="A12" s="17" t="s">
        <v>456</v>
      </c>
      <c r="B12" s="17" t="s">
        <v>468</v>
      </c>
      <c r="C12" s="17" t="s">
        <v>462</v>
      </c>
      <c r="D12" s="18">
        <v>1.0</v>
      </c>
      <c r="E12" s="17" t="s">
        <v>170</v>
      </c>
      <c r="F12" s="17" t="s">
        <v>464</v>
      </c>
      <c r="G12" s="17" t="s">
        <v>465</v>
      </c>
      <c r="H12" s="18">
        <v>10.0</v>
      </c>
      <c r="I12" s="19">
        <v>45987.0</v>
      </c>
      <c r="J12" s="5" t="s">
        <v>461</v>
      </c>
      <c r="K12" s="5" t="str">
        <f t="array" ref="K12">IFERROR(
    XLOOKUP(F12, '颜色对照表'!A:A, '颜色对照表'!C:C),
    IFERROR(
        XLOOKUP(F12, '颜色对照表'!B:B, '颜色对照表'!C:C),
        "未匹配到颜色"
    )
)
</f>
        <v>black</v>
      </c>
      <c r="L12" s="5" t="str">
        <f t="shared" si="1"/>
        <v>S671_black_2XL</v>
      </c>
      <c r="M12" s="20">
        <f>IFERROR(__xludf.DUMMYFUNCTION("INDEX(FILTER('对账单'!$E$2:$E1000, '对账单'!$A$2:$A1000 = A12, '对账单'!$G$2:$G1000 = E12),1)"),25.0)</f>
        <v>25</v>
      </c>
      <c r="N12" s="20">
        <f>IFERROR(__xludf.DUMMYFUNCTION("IFERROR(
    INDEX(
        FILTER('商品表'!$A:$IV, '商品表'!$A:$A = L12),
        1,
        MATCH(C12 &amp; ""：费用"", '商品表'!$1:$1, 0)
    ),
    ""无数据""
)
"),1.2)</f>
        <v>1.2</v>
      </c>
    </row>
    <row r="13" ht="14.25" customHeight="1">
      <c r="A13" s="17" t="s">
        <v>456</v>
      </c>
      <c r="B13" s="17" t="s">
        <v>468</v>
      </c>
      <c r="C13" s="17" t="s">
        <v>462</v>
      </c>
      <c r="D13" s="18">
        <v>2.0</v>
      </c>
      <c r="E13" s="17" t="s">
        <v>170</v>
      </c>
      <c r="F13" s="17" t="s">
        <v>464</v>
      </c>
      <c r="G13" s="17" t="s">
        <v>465</v>
      </c>
      <c r="H13" s="18">
        <v>140.0</v>
      </c>
      <c r="I13" s="19">
        <v>45987.0</v>
      </c>
      <c r="J13" s="5" t="s">
        <v>461</v>
      </c>
      <c r="K13" s="5" t="str">
        <f t="array" ref="K13">IFERROR(
    XLOOKUP(F13, '颜色对照表'!A:A, '颜色对照表'!C:C),
    IFERROR(
        XLOOKUP(F13, '颜色对照表'!B:B, '颜色对照表'!C:C),
        "未匹配到颜色"
    )
)
</f>
        <v>black</v>
      </c>
      <c r="L13" s="5" t="str">
        <f t="shared" si="1"/>
        <v>S671_black_2XL</v>
      </c>
      <c r="M13" s="20">
        <f>IFERROR(__xludf.DUMMYFUNCTION("INDEX(FILTER('对账单'!$E$2:$E1000, '对账单'!$A$2:$A1000 = A13, '对账单'!$G$2:$G1000 = E13),1)"),25.0)</f>
        <v>25</v>
      </c>
      <c r="N13" s="20">
        <f>IFERROR(__xludf.DUMMYFUNCTION("IFERROR(
    INDEX(
        FILTER('商品表'!$A:$IV, '商品表'!$A:$A = L13),
        1,
        MATCH(C13 &amp; ""：费用"", '商品表'!$1:$1, 0)
    ),
    ""无数据""
)
"),1.2)</f>
        <v>1.2</v>
      </c>
    </row>
    <row r="14" ht="14.25" customHeight="1">
      <c r="A14" s="17" t="s">
        <v>456</v>
      </c>
      <c r="B14" s="17" t="s">
        <v>468</v>
      </c>
      <c r="C14" s="17" t="s">
        <v>462</v>
      </c>
      <c r="D14" s="18">
        <v>2.0</v>
      </c>
      <c r="E14" s="17" t="s">
        <v>174</v>
      </c>
      <c r="F14" s="17" t="s">
        <v>464</v>
      </c>
      <c r="G14" s="17" t="s">
        <v>460</v>
      </c>
      <c r="H14" s="18">
        <v>65.0</v>
      </c>
      <c r="I14" s="19">
        <v>45987.0</v>
      </c>
      <c r="J14" s="5" t="s">
        <v>461</v>
      </c>
      <c r="K14" s="5" t="str">
        <f t="array" ref="K14">IFERROR(
    XLOOKUP(F14, '颜色对照表'!A:A, '颜色对照表'!C:C),
    IFERROR(
        XLOOKUP(F14, '颜色对照表'!B:B, '颜色对照表'!C:C),
        "未匹配到颜色"
    )
)
</f>
        <v>black</v>
      </c>
      <c r="L14" s="5" t="str">
        <f t="shared" si="1"/>
        <v>S546_black_M</v>
      </c>
      <c r="M14" s="20">
        <f>IFERROR(__xludf.DUMMYFUNCTION("INDEX(FILTER('对账单'!$E$2:$E1000, '对账单'!$A$2:$A1000 = A14, '对账单'!$G$2:$G1000 = E14),1)"),32.0)</f>
        <v>32</v>
      </c>
      <c r="N14" s="20">
        <f>IFERROR(__xludf.DUMMYFUNCTION("IFERROR(
    INDEX(
        FILTER('商品表'!$A:$IV, '商品表'!$A:$A = L14),
        1,
        MATCH(C14 &amp; ""：费用"", '商品表'!$1:$1, 0)
    ),
    ""无数据""
)
"),1.2)</f>
        <v>1.2</v>
      </c>
    </row>
    <row r="15" ht="14.25" customHeight="1">
      <c r="A15" s="17" t="s">
        <v>456</v>
      </c>
      <c r="B15" s="17" t="s">
        <v>468</v>
      </c>
      <c r="C15" s="17" t="s">
        <v>462</v>
      </c>
      <c r="D15" s="18">
        <v>2.0</v>
      </c>
      <c r="E15" s="17" t="s">
        <v>174</v>
      </c>
      <c r="F15" s="17" t="s">
        <v>464</v>
      </c>
      <c r="G15" s="17" t="s">
        <v>463</v>
      </c>
      <c r="H15" s="18">
        <v>69.0</v>
      </c>
      <c r="I15" s="19">
        <v>45987.0</v>
      </c>
      <c r="J15" s="5" t="s">
        <v>461</v>
      </c>
      <c r="K15" s="5" t="str">
        <f t="array" ref="K15">IFERROR(
    XLOOKUP(F15, '颜色对照表'!A:A, '颜色对照表'!C:C),
    IFERROR(
        XLOOKUP(F15, '颜色对照表'!B:B, '颜色对照表'!C:C),
        "未匹配到颜色"
    )
)
</f>
        <v>black</v>
      </c>
      <c r="L15" s="5" t="str">
        <f t="shared" si="1"/>
        <v>S546_black_L</v>
      </c>
      <c r="M15" s="20">
        <f>IFERROR(__xludf.DUMMYFUNCTION("INDEX(FILTER('对账单'!$E$2:$E1000, '对账单'!$A$2:$A1000 = A15, '对账单'!$G$2:$G1000 = E15),1)"),32.0)</f>
        <v>32</v>
      </c>
      <c r="N15" s="20">
        <f>IFERROR(__xludf.DUMMYFUNCTION("IFERROR(
    INDEX(
        FILTER('商品表'!$A:$IV, '商品表'!$A:$A = L15),
        1,
        MATCH(C15 &amp; ""：费用"", '商品表'!$1:$1, 0)
    ),
    ""无数据""
)
"),1.2)</f>
        <v>1.2</v>
      </c>
    </row>
    <row r="16" ht="14.25" customHeight="1">
      <c r="A16" s="17" t="s">
        <v>456</v>
      </c>
      <c r="B16" s="17" t="s">
        <v>468</v>
      </c>
      <c r="C16" s="17" t="s">
        <v>462</v>
      </c>
      <c r="D16" s="18">
        <v>3.0</v>
      </c>
      <c r="E16" s="17" t="s">
        <v>174</v>
      </c>
      <c r="F16" s="17" t="s">
        <v>464</v>
      </c>
      <c r="G16" s="17" t="s">
        <v>469</v>
      </c>
      <c r="H16" s="18">
        <v>70.0</v>
      </c>
      <c r="I16" s="19">
        <v>45987.0</v>
      </c>
      <c r="J16" s="5" t="s">
        <v>461</v>
      </c>
      <c r="K16" s="5" t="str">
        <f t="array" ref="K16">IFERROR(
    XLOOKUP(F16, '颜色对照表'!A:A, '颜色对照表'!C:C),
    IFERROR(
        XLOOKUP(F16, '颜色对照表'!B:B, '颜色对照表'!C:C),
        "未匹配到颜色"
    )
)
</f>
        <v>black</v>
      </c>
      <c r="L16" s="5" t="str">
        <f t="shared" si="1"/>
        <v>S546_black_XL</v>
      </c>
      <c r="M16" s="20">
        <f>IFERROR(__xludf.DUMMYFUNCTION("INDEX(FILTER('对账单'!$E$2:$E1000, '对账单'!$A$2:$A1000 = A16, '对账单'!$G$2:$G1000 = E16),1)"),32.0)</f>
        <v>32</v>
      </c>
      <c r="N16" s="20">
        <f>IFERROR(__xludf.DUMMYFUNCTION("IFERROR(
    INDEX(
        FILTER('商品表'!$A:$IV, '商品表'!$A:$A = L16),
        1,
        MATCH(C16 &amp; ""：费用"", '商品表'!$1:$1, 0)
    ),
    ""无数据""
)
"),1.2)</f>
        <v>1.2</v>
      </c>
    </row>
    <row r="17" ht="14.25" customHeight="1">
      <c r="A17" s="17" t="s">
        <v>456</v>
      </c>
      <c r="B17" s="17" t="s">
        <v>468</v>
      </c>
      <c r="C17" s="17" t="s">
        <v>462</v>
      </c>
      <c r="D17" s="18">
        <v>3.0</v>
      </c>
      <c r="E17" s="17" t="s">
        <v>178</v>
      </c>
      <c r="F17" s="17" t="s">
        <v>464</v>
      </c>
      <c r="G17" s="17" t="s">
        <v>463</v>
      </c>
      <c r="H17" s="18">
        <v>80.0</v>
      </c>
      <c r="I17" s="19">
        <v>45987.0</v>
      </c>
      <c r="J17" s="5" t="s">
        <v>461</v>
      </c>
      <c r="K17" s="5" t="str">
        <f t="array" ref="K17">IFERROR(
    XLOOKUP(F17, '颜色对照表'!A:A, '颜色对照表'!C:C),
    IFERROR(
        XLOOKUP(F17, '颜色对照表'!B:B, '颜色对照表'!C:C),
        "未匹配到颜色"
    )
)
</f>
        <v>black</v>
      </c>
      <c r="L17" s="5" t="str">
        <f t="shared" si="1"/>
        <v>S539_black_L</v>
      </c>
      <c r="M17" s="20">
        <f>IFERROR(__xludf.DUMMYFUNCTION("INDEX(FILTER('对账单'!$E$2:$E1000, '对账单'!$A$2:$A1000 = A17, '对账单'!$G$2:$G1000 = E17),1)"),12.0)</f>
        <v>12</v>
      </c>
      <c r="N17" s="20">
        <f>IFERROR(__xludf.DUMMYFUNCTION("IFERROR(
    INDEX(
        FILTER('商品表'!$A:$IV, '商品表'!$A:$A = L17),
        1,
        MATCH(C17 &amp; ""：费用"", '商品表'!$1:$1, 0)
    ),
    ""无数据""
)
"),1.2)</f>
        <v>1.2</v>
      </c>
    </row>
    <row r="18" ht="14.25" customHeight="1">
      <c r="A18" s="17" t="s">
        <v>456</v>
      </c>
      <c r="B18" s="17" t="s">
        <v>468</v>
      </c>
      <c r="C18" s="17" t="s">
        <v>462</v>
      </c>
      <c r="D18" s="18">
        <v>3.0</v>
      </c>
      <c r="E18" s="17" t="s">
        <v>180</v>
      </c>
      <c r="F18" s="17" t="s">
        <v>470</v>
      </c>
      <c r="G18" s="17" t="s">
        <v>469</v>
      </c>
      <c r="H18" s="18">
        <v>77.0</v>
      </c>
      <c r="I18" s="19">
        <v>45987.0</v>
      </c>
      <c r="J18" s="5" t="s">
        <v>461</v>
      </c>
      <c r="K18" s="5" t="str">
        <f t="array" ref="K18">IFERROR(
    XLOOKUP(F18, '颜色对照表'!A:A, '颜色对照表'!C:C),
    IFERROR(
        XLOOKUP(F18, '颜色对照表'!B:B, '颜色对照表'!C:C),
        "未匹配到颜色"
    )
)
</f>
        <v>darkgray</v>
      </c>
      <c r="L18" s="5" t="str">
        <f t="shared" si="1"/>
        <v>S568_darkgray_XL</v>
      </c>
      <c r="M18" s="20">
        <f>IFERROR(__xludf.DUMMYFUNCTION("INDEX(FILTER('对账单'!$E$2:$E1000, '对账单'!$A$2:$A1000 = A18, '对账单'!$G$2:$G1000 = E18),1)"),26.0)</f>
        <v>26</v>
      </c>
      <c r="N18" s="20">
        <f>IFERROR(__xludf.DUMMYFUNCTION("IFERROR(
    INDEX(
        FILTER('商品表'!$A:$IV, '商品表'!$A:$A = L18),
        1,
        MATCH(C18 &amp; ""：费用"", '商品表'!$1:$1, 0)
    ),
    ""无数据""
)
"),1.2)</f>
        <v>1.2</v>
      </c>
    </row>
    <row r="19" ht="14.25" customHeight="1">
      <c r="A19" s="17" t="s">
        <v>456</v>
      </c>
      <c r="B19" s="17" t="s">
        <v>468</v>
      </c>
      <c r="C19" s="17" t="s">
        <v>462</v>
      </c>
      <c r="D19" s="18">
        <v>3.0</v>
      </c>
      <c r="E19" s="17" t="s">
        <v>180</v>
      </c>
      <c r="F19" s="17" t="s">
        <v>470</v>
      </c>
      <c r="G19" s="17" t="s">
        <v>465</v>
      </c>
      <c r="H19" s="18">
        <v>40.0</v>
      </c>
      <c r="I19" s="19">
        <v>45987.0</v>
      </c>
      <c r="J19" s="5" t="s">
        <v>461</v>
      </c>
      <c r="K19" s="5" t="str">
        <f t="array" ref="K19">IFERROR(
    XLOOKUP(F19, '颜色对照表'!A:A, '颜色对照表'!C:C),
    IFERROR(
        XLOOKUP(F19, '颜色对照表'!B:B, '颜色对照表'!C:C),
        "未匹配到颜色"
    )
)
</f>
        <v>darkgray</v>
      </c>
      <c r="L19" s="5" t="str">
        <f t="shared" si="1"/>
        <v>S568_darkgray_2XL</v>
      </c>
      <c r="M19" s="20">
        <f>IFERROR(__xludf.DUMMYFUNCTION("INDEX(FILTER('对账单'!$E$2:$E1000, '对账单'!$A$2:$A1000 = A19, '对账单'!$G$2:$G1000 = E19),1)"),26.0)</f>
        <v>26</v>
      </c>
      <c r="N19" s="20">
        <f>IFERROR(__xludf.DUMMYFUNCTION("IFERROR(
    INDEX(
        FILTER('商品表'!$A:$IV, '商品表'!$A:$A = L19),
        1,
        MATCH(C19 &amp; ""：费用"", '商品表'!$1:$1, 0)
    ),
    ""无数据""
)
"),1.2)</f>
        <v>1.2</v>
      </c>
    </row>
    <row r="20" ht="14.25" customHeight="1">
      <c r="A20" s="17" t="s">
        <v>456</v>
      </c>
      <c r="B20" s="17" t="s">
        <v>468</v>
      </c>
      <c r="C20" s="17" t="s">
        <v>462</v>
      </c>
      <c r="D20" s="18">
        <v>3.0</v>
      </c>
      <c r="E20" s="17" t="s">
        <v>180</v>
      </c>
      <c r="F20" s="17" t="s">
        <v>470</v>
      </c>
      <c r="G20" s="17" t="s">
        <v>466</v>
      </c>
      <c r="H20" s="18">
        <v>21.0</v>
      </c>
      <c r="I20" s="19">
        <v>45987.0</v>
      </c>
      <c r="J20" s="5" t="s">
        <v>461</v>
      </c>
      <c r="K20" s="5" t="str">
        <f t="array" ref="K20">IFERROR(
    XLOOKUP(F20, '颜色对照表'!A:A, '颜色对照表'!C:C),
    IFERROR(
        XLOOKUP(F20, '颜色对照表'!B:B, '颜色对照表'!C:C),
        "未匹配到颜色"
    )
)
</f>
        <v>darkgray</v>
      </c>
      <c r="L20" s="5" t="str">
        <f t="shared" si="1"/>
        <v>S568_darkgray_3XL</v>
      </c>
      <c r="M20" s="20">
        <f>IFERROR(__xludf.DUMMYFUNCTION("INDEX(FILTER('对账单'!$E$2:$E1000, '对账单'!$A$2:$A1000 = A20, '对账单'!$G$2:$G1000 = E20),1)"),26.0)</f>
        <v>26</v>
      </c>
      <c r="N20" s="20">
        <f>IFERROR(__xludf.DUMMYFUNCTION("IFERROR(
    INDEX(
        FILTER('商品表'!$A:$IV, '商品表'!$A:$A = L20),
        1,
        MATCH(C20 &amp; ""：费用"", '商品表'!$1:$1, 0)
    ),
    ""无数据""
)
"),1.2)</f>
        <v>1.2</v>
      </c>
    </row>
    <row r="21" ht="14.25" customHeight="1">
      <c r="A21" s="17" t="s">
        <v>456</v>
      </c>
      <c r="B21" s="17" t="s">
        <v>468</v>
      </c>
      <c r="C21" s="17" t="s">
        <v>462</v>
      </c>
      <c r="D21" s="18">
        <v>4.0</v>
      </c>
      <c r="E21" s="17" t="s">
        <v>180</v>
      </c>
      <c r="F21" s="17" t="s">
        <v>470</v>
      </c>
      <c r="G21" s="17" t="s">
        <v>466</v>
      </c>
      <c r="H21" s="18">
        <v>60.0</v>
      </c>
      <c r="I21" s="19">
        <v>45987.0</v>
      </c>
      <c r="J21" s="5" t="s">
        <v>461</v>
      </c>
      <c r="K21" s="5" t="str">
        <f t="array" ref="K21">IFERROR(
    XLOOKUP(F21, '颜色对照表'!A:A, '颜色对照表'!C:C),
    IFERROR(
        XLOOKUP(F21, '颜色对照表'!B:B, '颜色对照表'!C:C),
        "未匹配到颜色"
    )
)
</f>
        <v>darkgray</v>
      </c>
      <c r="L21" s="5" t="str">
        <f t="shared" si="1"/>
        <v>S568_darkgray_3XL</v>
      </c>
      <c r="M21" s="20">
        <f>IFERROR(__xludf.DUMMYFUNCTION("INDEX(FILTER('对账单'!$E$2:$E1000, '对账单'!$A$2:$A1000 = A21, '对账单'!$G$2:$G1000 = E21),1)"),26.0)</f>
        <v>26</v>
      </c>
      <c r="N21" s="20">
        <f>IFERROR(__xludf.DUMMYFUNCTION("IFERROR(
    INDEX(
        FILTER('商品表'!$A:$IV, '商品表'!$A:$A = L21),
        1,
        MATCH(C21 &amp; ""：费用"", '商品表'!$1:$1, 0)
    ),
    ""无数据""
)
"),1.2)</f>
        <v>1.2</v>
      </c>
    </row>
    <row r="22" ht="14.25" customHeight="1">
      <c r="A22" s="17" t="s">
        <v>456</v>
      </c>
      <c r="B22" s="17" t="s">
        <v>468</v>
      </c>
      <c r="C22" s="17" t="s">
        <v>462</v>
      </c>
      <c r="D22" s="18">
        <v>4.0</v>
      </c>
      <c r="E22" s="17" t="s">
        <v>167</v>
      </c>
      <c r="F22" s="17" t="s">
        <v>471</v>
      </c>
      <c r="G22" s="17" t="s">
        <v>466</v>
      </c>
      <c r="H22" s="18">
        <v>47.0</v>
      </c>
      <c r="I22" s="19">
        <v>45987.0</v>
      </c>
      <c r="J22" s="5" t="s">
        <v>461</v>
      </c>
      <c r="K22" s="5" t="str">
        <f t="array" ref="K22">IFERROR(
    XLOOKUP(F22, '颜色对照表'!A:A, '颜色对照表'!C:C),
    IFERROR(
        XLOOKUP(F22, '颜色对照表'!B:B, '颜色对照表'!C:C),
        "未匹配到颜色"
    )
)
</f>
        <v>offwhite</v>
      </c>
      <c r="L22" s="5" t="str">
        <f t="shared" si="1"/>
        <v>S596_offwhite_3XL</v>
      </c>
      <c r="M22" s="20" t="str">
        <f>IFERROR(__xludf.DUMMYFUNCTION("INDEX(FILTER('对账单'!$E$2:$E1000, '对账单'!$A$2:$A1000 = A22, '对账单'!$G$2:$G1000 = E22),1)"),"#N/A")</f>
        <v>#N/A</v>
      </c>
      <c r="N22" s="20">
        <f>IFERROR(__xludf.DUMMYFUNCTION("IFERROR(
    INDEX(
        FILTER('商品表'!$A:$IV, '商品表'!$A:$A = L22),
        1,
        MATCH(C22 &amp; ""：费用"", '商品表'!$1:$1, 0)
    ),
    ""无数据""
)
"),1.2)</f>
        <v>1.2</v>
      </c>
    </row>
    <row r="23" ht="14.25" customHeight="1">
      <c r="A23" s="17" t="s">
        <v>456</v>
      </c>
      <c r="B23" s="17" t="s">
        <v>468</v>
      </c>
      <c r="C23" s="17" t="s">
        <v>462</v>
      </c>
      <c r="D23" s="18">
        <v>4.0</v>
      </c>
      <c r="E23" s="17" t="s">
        <v>167</v>
      </c>
      <c r="F23" s="17" t="s">
        <v>471</v>
      </c>
      <c r="G23" s="17" t="s">
        <v>465</v>
      </c>
      <c r="H23" s="18">
        <v>47.0</v>
      </c>
      <c r="I23" s="19">
        <v>45987.0</v>
      </c>
      <c r="J23" s="5" t="s">
        <v>461</v>
      </c>
      <c r="K23" s="5" t="str">
        <f t="array" ref="K23">IFERROR(
    XLOOKUP(F23, '颜色对照表'!A:A, '颜色对照表'!C:C),
    IFERROR(
        XLOOKUP(F23, '颜色对照表'!B:B, '颜色对照表'!C:C),
        "未匹配到颜色"
    )
)
</f>
        <v>offwhite</v>
      </c>
      <c r="L23" s="5" t="str">
        <f t="shared" si="1"/>
        <v>S596_offwhite_2XL</v>
      </c>
      <c r="M23" s="20" t="str">
        <f>IFERROR(__xludf.DUMMYFUNCTION("INDEX(FILTER('对账单'!$E$2:$E1000, '对账单'!$A$2:$A1000 = A23, '对账单'!$G$2:$G1000 = E23),1)"),"#N/A")</f>
        <v>#N/A</v>
      </c>
      <c r="N23" s="20">
        <f>IFERROR(__xludf.DUMMYFUNCTION("IFERROR(
    INDEX(
        FILTER('商品表'!$A:$IV, '商品表'!$A:$A = L23),
        1,
        MATCH(C23 &amp; ""：费用"", '商品表'!$1:$1, 0)
    ),
    ""无数据""
)
"),1.2)</f>
        <v>1.2</v>
      </c>
    </row>
    <row r="24" ht="14.25" customHeight="1">
      <c r="A24" s="17" t="s">
        <v>456</v>
      </c>
      <c r="B24" s="17" t="s">
        <v>468</v>
      </c>
      <c r="C24" s="17" t="s">
        <v>462</v>
      </c>
      <c r="D24" s="18">
        <v>4.0</v>
      </c>
      <c r="E24" s="17" t="s">
        <v>167</v>
      </c>
      <c r="F24" s="17" t="s">
        <v>471</v>
      </c>
      <c r="G24" s="17" t="s">
        <v>463</v>
      </c>
      <c r="H24" s="18">
        <v>48.0</v>
      </c>
      <c r="I24" s="19">
        <v>45987.0</v>
      </c>
      <c r="J24" s="5" t="s">
        <v>461</v>
      </c>
      <c r="K24" s="5" t="str">
        <f t="array" ref="K24">IFERROR(
    XLOOKUP(F24, '颜色对照表'!A:A, '颜色对照表'!C:C),
    IFERROR(
        XLOOKUP(F24, '颜色对照表'!B:B, '颜色对照表'!C:C),
        "未匹配到颜色"
    )
)
</f>
        <v>offwhite</v>
      </c>
      <c r="L24" s="5" t="str">
        <f t="shared" si="1"/>
        <v>S596_offwhite_L</v>
      </c>
      <c r="M24" s="20" t="str">
        <f>IFERROR(__xludf.DUMMYFUNCTION("INDEX(FILTER('对账单'!$E$2:$E1000, '对账单'!$A$2:$A1000 = A24, '对账单'!$G$2:$G1000 = E24),1)"),"#N/A")</f>
        <v>#N/A</v>
      </c>
      <c r="N24" s="20">
        <f>IFERROR(__xludf.DUMMYFUNCTION("IFERROR(
    INDEX(
        FILTER('商品表'!$A:$IV, '商品表'!$A:$A = L24),
        1,
        MATCH(C24 &amp; ""：费用"", '商品表'!$1:$1, 0)
    ),
    ""无数据""
)
"),1.2)</f>
        <v>1.2</v>
      </c>
    </row>
    <row r="25" ht="14.25" customHeight="1">
      <c r="A25" s="17" t="s">
        <v>456</v>
      </c>
      <c r="B25" s="17" t="s">
        <v>468</v>
      </c>
      <c r="C25" s="17" t="s">
        <v>462</v>
      </c>
      <c r="D25" s="18">
        <v>4.0</v>
      </c>
      <c r="E25" s="17" t="s">
        <v>167</v>
      </c>
      <c r="F25" s="17" t="s">
        <v>471</v>
      </c>
      <c r="G25" s="17" t="s">
        <v>460</v>
      </c>
      <c r="H25" s="18">
        <v>46.0</v>
      </c>
      <c r="I25" s="19">
        <v>45987.0</v>
      </c>
      <c r="J25" s="5" t="s">
        <v>461</v>
      </c>
      <c r="K25" s="5" t="str">
        <f t="array" ref="K25">IFERROR(
    XLOOKUP(F25, '颜色对照表'!A:A, '颜色对照表'!C:C),
    IFERROR(
        XLOOKUP(F25, '颜色对照表'!B:B, '颜色对照表'!C:C),
        "未匹配到颜色"
    )
)
</f>
        <v>offwhite</v>
      </c>
      <c r="L25" s="5" t="str">
        <f t="shared" si="1"/>
        <v>S596_offwhite_M</v>
      </c>
      <c r="M25" s="20" t="str">
        <f>IFERROR(__xludf.DUMMYFUNCTION("INDEX(FILTER('对账单'!$E$2:$E1000, '对账单'!$A$2:$A1000 = A25, '对账单'!$G$2:$G1000 = E25),1)"),"#N/A")</f>
        <v>#N/A</v>
      </c>
      <c r="N25" s="20">
        <f>IFERROR(__xludf.DUMMYFUNCTION("IFERROR(
    INDEX(
        FILTER('商品表'!$A:$IV, '商品表'!$A:$A = L25),
        1,
        MATCH(C25 &amp; ""：费用"", '商品表'!$1:$1, 0)
    ),
    ""无数据""
)
"),1.2)</f>
        <v>1.2</v>
      </c>
    </row>
    <row r="26" ht="14.25" customHeight="1">
      <c r="A26" s="17" t="s">
        <v>456</v>
      </c>
      <c r="B26" s="17" t="s">
        <v>468</v>
      </c>
      <c r="C26" s="17" t="s">
        <v>462</v>
      </c>
      <c r="D26" s="18">
        <v>11.0</v>
      </c>
      <c r="E26" s="17" t="s">
        <v>167</v>
      </c>
      <c r="F26" s="17" t="s">
        <v>473</v>
      </c>
      <c r="G26" s="17" t="s">
        <v>463</v>
      </c>
      <c r="H26" s="18">
        <v>190.0</v>
      </c>
      <c r="I26" s="19">
        <v>45987.0</v>
      </c>
      <c r="J26" s="5" t="s">
        <v>461</v>
      </c>
      <c r="K26" s="5" t="str">
        <f t="array" ref="K26">IFERROR(
    XLOOKUP(F26, '颜色对照表'!A:A, '颜色对照表'!C:C),
    IFERROR(
        XLOOKUP(F26, '颜色对照表'!B:B, '颜色对照表'!C:C),
        "未匹配到颜色"
    )
)
</f>
        <v>navyblue</v>
      </c>
      <c r="L26" s="5" t="str">
        <f t="shared" si="1"/>
        <v>S596_navyblue_L</v>
      </c>
      <c r="M26" s="20" t="str">
        <f>IFERROR(__xludf.DUMMYFUNCTION("INDEX(FILTER('对账单'!$E$2:$E1000, '对账单'!$A$2:$A1000 = A26, '对账单'!$G$2:$G1000 = E26),1)"),"#N/A")</f>
        <v>#N/A</v>
      </c>
      <c r="N26" s="20" t="str">
        <f>IFERROR(__xludf.DUMMYFUNCTION("IFERROR(
    INDEX(
        FILTER('商品表'!$A:$IV, '商品表'!$A:$A = L26),
        1,
        MATCH(C26 &amp; ""：费用"", '商品表'!$1:$1, 0)
    ),
    ""无数据""
)
"),"无数据")</f>
        <v>无数据</v>
      </c>
    </row>
    <row r="27" ht="14.25" customHeight="1">
      <c r="A27" s="17" t="s">
        <v>456</v>
      </c>
      <c r="B27" s="17" t="s">
        <v>468</v>
      </c>
      <c r="C27" s="17" t="s">
        <v>462</v>
      </c>
      <c r="D27" s="18">
        <v>11.0</v>
      </c>
      <c r="E27" s="17" t="s">
        <v>167</v>
      </c>
      <c r="F27" s="17" t="s">
        <v>527</v>
      </c>
      <c r="G27" s="17" t="s">
        <v>469</v>
      </c>
      <c r="H27" s="18">
        <v>190.0</v>
      </c>
      <c r="I27" s="19">
        <v>45987.0</v>
      </c>
      <c r="J27" s="5" t="s">
        <v>461</v>
      </c>
      <c r="K27" s="5" t="str">
        <f t="array" ref="K27">IFERROR(
    XLOOKUP(F27, '颜色对照表'!A:A, '颜色对照表'!C:C),
    IFERROR(
        XLOOKUP(F27, '颜色对照表'!B:B, '颜色对照表'!C:C),
        "未匹配到颜色"
    )
)
</f>
        <v>未匹配到颜色</v>
      </c>
      <c r="L27" s="5" t="str">
        <f t="shared" si="1"/>
        <v>S596_未匹配到颜色_XL</v>
      </c>
      <c r="M27" s="20" t="str">
        <f>IFERROR(__xludf.DUMMYFUNCTION("INDEX(FILTER('对账单'!$E$2:$E1000, '对账单'!$A$2:$A1000 = A27, '对账单'!$G$2:$G1000 = E27),1)"),"#N/A")</f>
        <v>#N/A</v>
      </c>
      <c r="N27" s="20" t="str">
        <f>IFERROR(__xludf.DUMMYFUNCTION("IFERROR(
    INDEX(
        FILTER('商品表'!$A:$IV, '商品表'!$A:$A = L27),
        1,
        MATCH(C27 &amp; ""：费用"", '商品表'!$1:$1, 0)
    ),
    ""无数据""
)
"),"无数据")</f>
        <v>无数据</v>
      </c>
    </row>
    <row r="28" ht="14.25" customHeight="1">
      <c r="A28" s="17" t="s">
        <v>456</v>
      </c>
      <c r="B28" s="5" t="s">
        <v>468</v>
      </c>
      <c r="C28" s="5" t="s">
        <v>462</v>
      </c>
      <c r="D28" s="20">
        <v>4.0</v>
      </c>
      <c r="E28" s="5" t="s">
        <v>188</v>
      </c>
      <c r="F28" s="5" t="s">
        <v>464</v>
      </c>
      <c r="G28" s="5" t="s">
        <v>466</v>
      </c>
      <c r="H28" s="20">
        <v>30.0</v>
      </c>
      <c r="I28" s="21">
        <v>45987.0</v>
      </c>
      <c r="J28" s="5" t="s">
        <v>461</v>
      </c>
      <c r="K28" s="5" t="str">
        <f t="array" ref="K28">IFERROR(
    XLOOKUP(F28, '颜色对照表'!A:A, '颜色对照表'!C:C),
    IFERROR(
        XLOOKUP(F28, '颜色对照表'!B:B, '颜色对照表'!C:C),
        "未匹配到颜色"
    )
)
</f>
        <v>black</v>
      </c>
      <c r="L28" s="5" t="str">
        <f t="shared" si="1"/>
        <v>S516_black_3XL</v>
      </c>
      <c r="M28" s="20">
        <f>IFERROR(__xludf.DUMMYFUNCTION("INDEX(FILTER('对账单'!$E$2:$E1000, '对账单'!$A$2:$A1000 = A28, '对账单'!$G$2:$G1000 = E28),1)"),22.0)</f>
        <v>22</v>
      </c>
      <c r="N28" s="20">
        <f>IFERROR(__xludf.DUMMYFUNCTION("IFERROR(
    INDEX(
        FILTER('商品表'!$A:$IV, '商品表'!$A:$A = L28),
        1,
        MATCH(C28 &amp; ""：费用"", '商品表'!$1:$1, 0)
    ),
    ""无数据""
)
"),1.2)</f>
        <v>1.2</v>
      </c>
    </row>
    <row r="29" ht="14.25" customHeight="1">
      <c r="A29" s="17" t="s">
        <v>456</v>
      </c>
      <c r="B29" s="5" t="s">
        <v>468</v>
      </c>
      <c r="C29" s="5" t="s">
        <v>462</v>
      </c>
      <c r="D29" s="20">
        <v>5.0</v>
      </c>
      <c r="E29" s="5" t="s">
        <v>188</v>
      </c>
      <c r="F29" s="5" t="s">
        <v>464</v>
      </c>
      <c r="G29" s="5" t="s">
        <v>466</v>
      </c>
      <c r="H29" s="20">
        <v>120.0</v>
      </c>
      <c r="I29" s="21">
        <v>45987.0</v>
      </c>
      <c r="J29" s="5" t="s">
        <v>461</v>
      </c>
      <c r="K29" s="5" t="str">
        <f t="array" ref="K29">IFERROR(
    XLOOKUP(F29, '颜色对照表'!A:A, '颜色对照表'!C:C),
    IFERROR(
        XLOOKUP(F29, '颜色对照表'!B:B, '颜色对照表'!C:C),
        "未匹配到颜色"
    )
)
</f>
        <v>black</v>
      </c>
      <c r="L29" s="5" t="str">
        <f t="shared" si="1"/>
        <v>S516_black_3XL</v>
      </c>
      <c r="M29" s="20">
        <f>IFERROR(__xludf.DUMMYFUNCTION("INDEX(FILTER('对账单'!$E$2:$E1000, '对账单'!$A$2:$A1000 = A29, '对账单'!$G$2:$G1000 = E29),1)"),22.0)</f>
        <v>22</v>
      </c>
      <c r="N29" s="20">
        <f>IFERROR(__xludf.DUMMYFUNCTION("IFERROR(
    INDEX(
        FILTER('商品表'!$A:$IV, '商品表'!$A:$A = L29),
        1,
        MATCH(C29 &amp; ""：费用"", '商品表'!$1:$1, 0)
    ),
    ""无数据""
)
"),1.2)</f>
        <v>1.2</v>
      </c>
    </row>
    <row r="30" ht="14.25" customHeight="1">
      <c r="A30" s="17" t="s">
        <v>456</v>
      </c>
      <c r="B30" s="5" t="s">
        <v>468</v>
      </c>
      <c r="C30" s="5" t="s">
        <v>462</v>
      </c>
      <c r="D30" s="20">
        <v>5.0</v>
      </c>
      <c r="E30" s="5" t="s">
        <v>188</v>
      </c>
      <c r="F30" s="5" t="s">
        <v>464</v>
      </c>
      <c r="G30" s="5" t="s">
        <v>465</v>
      </c>
      <c r="H30" s="20">
        <v>57.0</v>
      </c>
      <c r="I30" s="21">
        <v>45987.0</v>
      </c>
      <c r="J30" s="5" t="s">
        <v>461</v>
      </c>
      <c r="K30" s="5" t="str">
        <f t="array" ref="K30">IFERROR(
    XLOOKUP(F30, '颜色对照表'!A:A, '颜色对照表'!C:C),
    IFERROR(
        XLOOKUP(F30, '颜色对照表'!B:B, '颜色对照表'!C:C),
        "未匹配到颜色"
    )
)
</f>
        <v>black</v>
      </c>
      <c r="L30" s="5" t="str">
        <f t="shared" si="1"/>
        <v>S516_black_2XL</v>
      </c>
      <c r="M30" s="20">
        <f>IFERROR(__xludf.DUMMYFUNCTION("INDEX(FILTER('对账单'!$E$2:$E1000, '对账单'!$A$2:$A1000 = A30, '对账单'!$G$2:$G1000 = E30),1)"),22.0)</f>
        <v>22</v>
      </c>
      <c r="N30" s="20">
        <f>IFERROR(__xludf.DUMMYFUNCTION("IFERROR(
    INDEX(
        FILTER('商品表'!$A:$IV, '商品表'!$A:$A = L30),
        1,
        MATCH(C30 &amp; ""：费用"", '商品表'!$1:$1, 0)
    ),
    ""无数据""
)
"),1.2)</f>
        <v>1.2</v>
      </c>
    </row>
    <row r="31" ht="14.25" customHeight="1">
      <c r="A31" s="17" t="s">
        <v>456</v>
      </c>
      <c r="B31" s="5" t="s">
        <v>468</v>
      </c>
      <c r="C31" s="5" t="s">
        <v>462</v>
      </c>
      <c r="D31" s="20">
        <v>5.0</v>
      </c>
      <c r="E31" s="5" t="s">
        <v>191</v>
      </c>
      <c r="F31" s="5" t="s">
        <v>464</v>
      </c>
      <c r="G31" s="5" t="s">
        <v>466</v>
      </c>
      <c r="H31" s="20">
        <v>28.0</v>
      </c>
      <c r="I31" s="21">
        <v>45987.0</v>
      </c>
      <c r="J31" s="5" t="s">
        <v>461</v>
      </c>
      <c r="K31" s="5" t="str">
        <f t="array" ref="K31">IFERROR(
    XLOOKUP(F31, '颜色对照表'!A:A, '颜色对照表'!C:C),
    IFERROR(
        XLOOKUP(F31, '颜色对照表'!B:B, '颜色对照表'!C:C),
        "未匹配到颜色"
    )
)
</f>
        <v>black</v>
      </c>
      <c r="L31" s="5" t="str">
        <f t="shared" si="1"/>
        <v>S533_black_3XL</v>
      </c>
      <c r="M31" s="20">
        <f>IFERROR(__xludf.DUMMYFUNCTION("INDEX(FILTER('对账单'!$E$2:$E1000, '对账单'!$A$2:$A1000 = A31, '对账单'!$G$2:$G1000 = E31),1)"),23.0)</f>
        <v>23</v>
      </c>
      <c r="N31" s="20">
        <f>IFERROR(__xludf.DUMMYFUNCTION("IFERROR(
    INDEX(
        FILTER('商品表'!$A:$IV, '商品表'!$A:$A = L31),
        1,
        MATCH(C31 &amp; ""：费用"", '商品表'!$1:$1, 0)
    ),
    ""无数据""
)
"),1.2)</f>
        <v>1.2</v>
      </c>
    </row>
    <row r="32" ht="14.25" customHeight="1">
      <c r="A32" s="17" t="s">
        <v>456</v>
      </c>
      <c r="B32" s="5" t="s">
        <v>468</v>
      </c>
      <c r="C32" s="5" t="s">
        <v>462</v>
      </c>
      <c r="D32" s="20">
        <v>5.0</v>
      </c>
      <c r="E32" s="5" t="s">
        <v>191</v>
      </c>
      <c r="F32" s="5" t="s">
        <v>464</v>
      </c>
      <c r="G32" s="5" t="s">
        <v>465</v>
      </c>
      <c r="H32" s="20">
        <v>26.0</v>
      </c>
      <c r="I32" s="21">
        <v>45987.0</v>
      </c>
      <c r="J32" s="5" t="s">
        <v>461</v>
      </c>
      <c r="K32" s="5" t="str">
        <f t="array" ref="K32">IFERROR(
    XLOOKUP(F32, '颜色对照表'!A:A, '颜色对照表'!C:C),
    IFERROR(
        XLOOKUP(F32, '颜色对照表'!B:B, '颜色对照表'!C:C),
        "未匹配到颜色"
    )
)
</f>
        <v>black</v>
      </c>
      <c r="L32" s="5" t="str">
        <f t="shared" si="1"/>
        <v>S533_black_2XL</v>
      </c>
      <c r="M32" s="20">
        <f>IFERROR(__xludf.DUMMYFUNCTION("INDEX(FILTER('对账单'!$E$2:$E1000, '对账单'!$A$2:$A1000 = A32, '对账单'!$G$2:$G1000 = E32),1)"),23.0)</f>
        <v>23</v>
      </c>
      <c r="N32" s="20">
        <f>IFERROR(__xludf.DUMMYFUNCTION("IFERROR(
    INDEX(
        FILTER('商品表'!$A:$IV, '商品表'!$A:$A = L32),
        1,
        MATCH(C32 &amp; ""：费用"", '商品表'!$1:$1, 0)
    ),
    ""无数据""
)
"),1.2)</f>
        <v>1.2</v>
      </c>
    </row>
    <row r="33" ht="14.25" customHeight="1">
      <c r="A33" s="17" t="s">
        <v>456</v>
      </c>
      <c r="B33" s="5" t="s">
        <v>468</v>
      </c>
      <c r="C33" s="5" t="s">
        <v>462</v>
      </c>
      <c r="D33" s="20">
        <v>5.0</v>
      </c>
      <c r="E33" s="5" t="s">
        <v>191</v>
      </c>
      <c r="F33" s="5" t="s">
        <v>464</v>
      </c>
      <c r="G33" s="5" t="s">
        <v>469</v>
      </c>
      <c r="H33" s="20">
        <v>33.0</v>
      </c>
      <c r="I33" s="21">
        <v>45987.0</v>
      </c>
      <c r="J33" s="5" t="s">
        <v>461</v>
      </c>
      <c r="K33" s="5" t="str">
        <f t="array" ref="K33">IFERROR(
    XLOOKUP(F33, '颜色对照表'!A:A, '颜色对照表'!C:C),
    IFERROR(
        XLOOKUP(F33, '颜色对照表'!B:B, '颜色对照表'!C:C),
        "未匹配到颜色"
    )
)
</f>
        <v>black</v>
      </c>
      <c r="L33" s="5" t="str">
        <f t="shared" si="1"/>
        <v>S533_black_XL</v>
      </c>
      <c r="M33" s="20">
        <f>IFERROR(__xludf.DUMMYFUNCTION("INDEX(FILTER('对账单'!$E$2:$E1000, '对账单'!$A$2:$A1000 = A33, '对账单'!$G$2:$G1000 = E33),1)"),23.0)</f>
        <v>23</v>
      </c>
      <c r="N33" s="20">
        <f>IFERROR(__xludf.DUMMYFUNCTION("IFERROR(
    INDEX(
        FILTER('商品表'!$A:$IV, '商品表'!$A:$A = L33),
        1,
        MATCH(C33 &amp; ""：费用"", '商品表'!$1:$1, 0)
    ),
    ""无数据""
)
"),1.2)</f>
        <v>1.2</v>
      </c>
    </row>
    <row r="34" ht="14.25" customHeight="1">
      <c r="A34" s="17" t="s">
        <v>456</v>
      </c>
      <c r="B34" s="5" t="s">
        <v>468</v>
      </c>
      <c r="C34" s="5" t="s">
        <v>462</v>
      </c>
      <c r="D34" s="20">
        <v>6.0</v>
      </c>
      <c r="E34" s="5" t="s">
        <v>191</v>
      </c>
      <c r="F34" s="5" t="s">
        <v>464</v>
      </c>
      <c r="G34" s="5" t="s">
        <v>469</v>
      </c>
      <c r="H34" s="20">
        <v>50.0</v>
      </c>
      <c r="I34" s="21">
        <v>45987.0</v>
      </c>
      <c r="J34" s="5" t="s">
        <v>461</v>
      </c>
      <c r="K34" s="5" t="str">
        <f t="array" ref="K34">IFERROR(
    XLOOKUP(F34, '颜色对照表'!A:A, '颜色对照表'!C:C),
    IFERROR(
        XLOOKUP(F34, '颜色对照表'!B:B, '颜色对照表'!C:C),
        "未匹配到颜色"
    )
)
</f>
        <v>black</v>
      </c>
      <c r="L34" s="5" t="str">
        <f t="shared" si="1"/>
        <v>S533_black_XL</v>
      </c>
      <c r="M34" s="20">
        <f>IFERROR(__xludf.DUMMYFUNCTION("INDEX(FILTER('对账单'!$E$2:$E1000, '对账单'!$A$2:$A1000 = A34, '对账单'!$G$2:$G1000 = E34),1)"),23.0)</f>
        <v>23</v>
      </c>
      <c r="N34" s="20">
        <f>IFERROR(__xludf.DUMMYFUNCTION("IFERROR(
    INDEX(
        FILTER('商品表'!$A:$IV, '商品表'!$A:$A = L34),
        1,
        MATCH(C34 &amp; ""：费用"", '商品表'!$1:$1, 0)
    ),
    ""无数据""
)
"),1.2)</f>
        <v>1.2</v>
      </c>
    </row>
    <row r="35" ht="14.25" customHeight="1">
      <c r="A35" s="17" t="s">
        <v>456</v>
      </c>
      <c r="B35" s="5" t="s">
        <v>468</v>
      </c>
      <c r="C35" s="5" t="s">
        <v>462</v>
      </c>
      <c r="D35" s="20">
        <v>6.0</v>
      </c>
      <c r="E35" s="5" t="s">
        <v>167</v>
      </c>
      <c r="F35" s="5" t="s">
        <v>467</v>
      </c>
      <c r="G35" s="5" t="s">
        <v>460</v>
      </c>
      <c r="H35" s="20">
        <v>270.0</v>
      </c>
      <c r="I35" s="21">
        <v>45987.0</v>
      </c>
      <c r="J35" s="5" t="s">
        <v>461</v>
      </c>
      <c r="K35" s="5" t="str">
        <f t="array" ref="K35">IFERROR(
    XLOOKUP(F35, '颜色对照表'!A:A, '颜色对照表'!C:C),
    IFERROR(
        XLOOKUP(F35, '颜色对照表'!B:B, '颜色对照表'!C:C),
        "未匹配到颜色"
    )
)
</f>
        <v>gray</v>
      </c>
      <c r="L35" s="5" t="str">
        <f t="shared" si="1"/>
        <v>S596_gray_M</v>
      </c>
      <c r="M35" s="20" t="str">
        <f>IFERROR(__xludf.DUMMYFUNCTION("INDEX(FILTER('对账单'!$E$2:$E1000, '对账单'!$A$2:$A1000 = A35, '对账单'!$G$2:$G1000 = E35),1)"),"#N/A")</f>
        <v>#N/A</v>
      </c>
      <c r="N35" s="20">
        <f>IFERROR(__xludf.DUMMYFUNCTION("IFERROR(
    INDEX(
        FILTER('商品表'!$A:$IV, '商品表'!$A:$A = L35),
        1,
        MATCH(C35 &amp; ""：费用"", '商品表'!$1:$1, 0)
    ),
    ""无数据""
)
"),1.2)</f>
        <v>1.2</v>
      </c>
    </row>
    <row r="36" ht="14.25" customHeight="1">
      <c r="A36" s="17" t="s">
        <v>456</v>
      </c>
      <c r="B36" s="5" t="s">
        <v>468</v>
      </c>
      <c r="C36" s="5" t="s">
        <v>462</v>
      </c>
      <c r="D36" s="20">
        <v>7.0</v>
      </c>
      <c r="E36" s="5" t="s">
        <v>167</v>
      </c>
      <c r="F36" s="5" t="s">
        <v>467</v>
      </c>
      <c r="G36" s="5" t="s">
        <v>469</v>
      </c>
      <c r="H36" s="20">
        <v>280.0</v>
      </c>
      <c r="I36" s="21">
        <v>45987.0</v>
      </c>
      <c r="J36" s="5" t="s">
        <v>461</v>
      </c>
      <c r="K36" s="5" t="str">
        <f t="array" ref="K36">IFERROR(
    XLOOKUP(F36, '颜色对照表'!A:A, '颜色对照表'!C:C),
    IFERROR(
        XLOOKUP(F36, '颜色对照表'!B:B, '颜色对照表'!C:C),
        "未匹配到颜色"
    )
)
</f>
        <v>gray</v>
      </c>
      <c r="L36" s="5" t="str">
        <f t="shared" si="1"/>
        <v>S596_gray_XL</v>
      </c>
      <c r="M36" s="20" t="str">
        <f>IFERROR(__xludf.DUMMYFUNCTION("INDEX(FILTER('对账单'!$E$2:$E1000, '对账单'!$A$2:$A1000 = A36, '对账单'!$G$2:$G1000 = E36),1)"),"#N/A")</f>
        <v>#N/A</v>
      </c>
      <c r="N36" s="20">
        <f>IFERROR(__xludf.DUMMYFUNCTION("IFERROR(
    INDEX(
        FILTER('商品表'!$A:$IV, '商品表'!$A:$A = L36),
        1,
        MATCH(C36 &amp; ""：费用"", '商品表'!$1:$1, 0)
    ),
    ""无数据""
)
"),1.2)</f>
        <v>1.2</v>
      </c>
    </row>
    <row r="37" ht="14.25" customHeight="1">
      <c r="A37" s="17" t="s">
        <v>456</v>
      </c>
      <c r="B37" s="5" t="s">
        <v>468</v>
      </c>
      <c r="C37" s="5" t="s">
        <v>462</v>
      </c>
      <c r="D37" s="20">
        <v>8.0</v>
      </c>
      <c r="E37" s="5" t="s">
        <v>167</v>
      </c>
      <c r="F37" s="5" t="s">
        <v>467</v>
      </c>
      <c r="G37" s="5" t="s">
        <v>469</v>
      </c>
      <c r="H37" s="20">
        <v>230.0</v>
      </c>
      <c r="I37" s="21">
        <v>45987.0</v>
      </c>
      <c r="J37" s="5" t="s">
        <v>461</v>
      </c>
      <c r="K37" s="5" t="str">
        <f t="array" ref="K37">IFERROR(
    XLOOKUP(F37, '颜色对照表'!A:A, '颜色对照表'!C:C),
    IFERROR(
        XLOOKUP(F37, '颜色对照表'!B:B, '颜色对照表'!C:C),
        "未匹配到颜色"
    )
)
</f>
        <v>gray</v>
      </c>
      <c r="L37" s="5" t="str">
        <f t="shared" si="1"/>
        <v>S596_gray_XL</v>
      </c>
      <c r="M37" s="20" t="str">
        <f>IFERROR(__xludf.DUMMYFUNCTION("INDEX(FILTER('对账单'!$E$2:$E1000, '对账单'!$A$2:$A1000 = A37, '对账单'!$G$2:$G1000 = E37),1)"),"#N/A")</f>
        <v>#N/A</v>
      </c>
      <c r="N37" s="20">
        <f>IFERROR(__xludf.DUMMYFUNCTION("IFERROR(
    INDEX(
        FILTER('商品表'!$A:$IV, '商品表'!$A:$A = L37),
        1,
        MATCH(C37 &amp; ""：费用"", '商品表'!$1:$1, 0)
    ),
    ""无数据""
)
"),1.2)</f>
        <v>1.2</v>
      </c>
    </row>
    <row r="38" ht="14.25" customHeight="1">
      <c r="A38" s="17" t="s">
        <v>456</v>
      </c>
      <c r="B38" s="5" t="s">
        <v>468</v>
      </c>
      <c r="C38" s="5" t="s">
        <v>462</v>
      </c>
      <c r="D38" s="20">
        <v>8.0</v>
      </c>
      <c r="E38" s="5" t="s">
        <v>167</v>
      </c>
      <c r="F38" s="5" t="s">
        <v>467</v>
      </c>
      <c r="G38" s="5" t="s">
        <v>465</v>
      </c>
      <c r="H38" s="20">
        <v>50.0</v>
      </c>
      <c r="I38" s="21">
        <v>45987.0</v>
      </c>
      <c r="J38" s="5" t="s">
        <v>461</v>
      </c>
      <c r="K38" s="5" t="str">
        <f t="array" ref="K38">IFERROR(
    XLOOKUP(F38, '颜色对照表'!A:A, '颜色对照表'!C:C),
    IFERROR(
        XLOOKUP(F38, '颜色对照表'!B:B, '颜色对照表'!C:C),
        "未匹配到颜色"
    )
)
</f>
        <v>gray</v>
      </c>
      <c r="L38" s="5" t="str">
        <f t="shared" si="1"/>
        <v>S596_gray_2XL</v>
      </c>
      <c r="M38" s="20" t="str">
        <f>IFERROR(__xludf.DUMMYFUNCTION("INDEX(FILTER('对账单'!$E$2:$E1000, '对账单'!$A$2:$A1000 = A38, '对账单'!$G$2:$G1000 = E38),1)"),"#N/A")</f>
        <v>#N/A</v>
      </c>
      <c r="N38" s="20">
        <f>IFERROR(__xludf.DUMMYFUNCTION("IFERROR(
    INDEX(
        FILTER('商品表'!$A:$IV, '商品表'!$A:$A = L38),
        1,
        MATCH(C38 &amp; ""：费用"", '商品表'!$1:$1, 0)
    ),
    ""无数据""
)
"),1.2)</f>
        <v>1.2</v>
      </c>
    </row>
    <row r="39" ht="14.25" customHeight="1">
      <c r="A39" s="17" t="s">
        <v>456</v>
      </c>
      <c r="B39" s="5" t="s">
        <v>468</v>
      </c>
      <c r="C39" s="5" t="s">
        <v>462</v>
      </c>
      <c r="D39" s="20">
        <v>9.0</v>
      </c>
      <c r="E39" s="5" t="s">
        <v>167</v>
      </c>
      <c r="F39" s="5" t="s">
        <v>467</v>
      </c>
      <c r="G39" s="5" t="s">
        <v>465</v>
      </c>
      <c r="H39" s="20">
        <v>150.0</v>
      </c>
      <c r="I39" s="21">
        <v>45987.0</v>
      </c>
      <c r="J39" s="5" t="s">
        <v>461</v>
      </c>
      <c r="K39" s="5" t="str">
        <f t="array" ref="K39">IFERROR(
    XLOOKUP(F39, '颜色对照表'!A:A, '颜色对照表'!C:C),
    IFERROR(
        XLOOKUP(F39, '颜色对照表'!B:B, '颜色对照表'!C:C),
        "未匹配到颜色"
    )
)
</f>
        <v>gray</v>
      </c>
      <c r="L39" s="5" t="str">
        <f t="shared" si="1"/>
        <v>S596_gray_2XL</v>
      </c>
      <c r="M39" s="20" t="str">
        <f>IFERROR(__xludf.DUMMYFUNCTION("INDEX(FILTER('对账单'!$E$2:$E1000, '对账单'!$A$2:$A1000 = A39, '对账单'!$G$2:$G1000 = E39),1)"),"#N/A")</f>
        <v>#N/A</v>
      </c>
      <c r="N39" s="20">
        <f>IFERROR(__xludf.DUMMYFUNCTION("IFERROR(
    INDEX(
        FILTER('商品表'!$A:$IV, '商品表'!$A:$A = L39),
        1,
        MATCH(C39 &amp; ""：费用"", '商品表'!$1:$1, 0)
    ),
    ""无数据""
)
"),1.2)</f>
        <v>1.2</v>
      </c>
    </row>
    <row r="40" ht="14.25" customHeight="1">
      <c r="A40" s="17" t="s">
        <v>456</v>
      </c>
      <c r="B40" s="5" t="s">
        <v>468</v>
      </c>
      <c r="C40" s="5" t="s">
        <v>462</v>
      </c>
      <c r="D40" s="20">
        <v>9.0</v>
      </c>
      <c r="E40" s="5" t="s">
        <v>167</v>
      </c>
      <c r="F40" s="5" t="s">
        <v>467</v>
      </c>
      <c r="G40" s="5" t="s">
        <v>466</v>
      </c>
      <c r="H40" s="20">
        <v>130.0</v>
      </c>
      <c r="I40" s="21">
        <v>45987.0</v>
      </c>
      <c r="J40" s="5" t="s">
        <v>461</v>
      </c>
      <c r="K40" s="5" t="str">
        <f t="array" ref="K40">IFERROR(
    XLOOKUP(F40, '颜色对照表'!A:A, '颜色对照表'!C:C),
    IFERROR(
        XLOOKUP(F40, '颜色对照表'!B:B, '颜色对照表'!C:C),
        "未匹配到颜色"
    )
)
</f>
        <v>gray</v>
      </c>
      <c r="L40" s="5" t="str">
        <f t="shared" si="1"/>
        <v>S596_gray_3XL</v>
      </c>
      <c r="M40" s="20" t="str">
        <f>IFERROR(__xludf.DUMMYFUNCTION("INDEX(FILTER('对账单'!$E$2:$E1000, '对账单'!$A$2:$A1000 = A40, '对账单'!$G$2:$G1000 = E40),1)"),"#N/A")</f>
        <v>#N/A</v>
      </c>
      <c r="N40" s="20">
        <f>IFERROR(__xludf.DUMMYFUNCTION("IFERROR(
    INDEX(
        FILTER('商品表'!$A:$IV, '商品表'!$A:$A = L40),
        1,
        MATCH(C40 &amp; ""：费用"", '商品表'!$1:$1, 0)
    ),
    ""无数据""
)
"),1.2)</f>
        <v>1.2</v>
      </c>
    </row>
    <row r="41" ht="14.25" customHeight="1">
      <c r="A41" s="17" t="s">
        <v>456</v>
      </c>
      <c r="B41" s="5" t="s">
        <v>468</v>
      </c>
      <c r="C41" s="5" t="s">
        <v>462</v>
      </c>
      <c r="D41" s="20">
        <v>10.0</v>
      </c>
      <c r="E41" s="5" t="s">
        <v>167</v>
      </c>
      <c r="F41" s="5" t="s">
        <v>467</v>
      </c>
      <c r="G41" s="5" t="s">
        <v>466</v>
      </c>
      <c r="H41" s="20">
        <v>290.0</v>
      </c>
      <c r="I41" s="21">
        <v>45987.0</v>
      </c>
      <c r="J41" s="5" t="s">
        <v>461</v>
      </c>
      <c r="K41" s="5" t="str">
        <f t="array" ref="K41">IFERROR(
    XLOOKUP(F41, '颜色对照表'!A:A, '颜色对照表'!C:C),
    IFERROR(
        XLOOKUP(F41, '颜色对照表'!B:B, '颜色对照表'!C:C),
        "未匹配到颜色"
    )
)
</f>
        <v>gray</v>
      </c>
      <c r="L41" s="5" t="str">
        <f t="shared" si="1"/>
        <v>S596_gray_3XL</v>
      </c>
      <c r="M41" s="20" t="str">
        <f>IFERROR(__xludf.DUMMYFUNCTION("INDEX(FILTER('对账单'!$E$2:$E1000, '对账单'!$A$2:$A1000 = A41, '对账单'!$G$2:$G1000 = E41),1)"),"#N/A")</f>
        <v>#N/A</v>
      </c>
      <c r="N41" s="20">
        <f>IFERROR(__xludf.DUMMYFUNCTION("IFERROR(
    INDEX(
        FILTER('商品表'!$A:$IV, '商品表'!$A:$A = L41),
        1,
        MATCH(C41 &amp; ""：费用"", '商品表'!$1:$1, 0)
    ),
    ""无数据""
)
"),1.2)</f>
        <v>1.2</v>
      </c>
    </row>
    <row r="42" ht="14.25" customHeight="1">
      <c r="A42" s="17" t="s">
        <v>456</v>
      </c>
      <c r="B42" s="5" t="s">
        <v>468</v>
      </c>
      <c r="C42" s="5" t="s">
        <v>462</v>
      </c>
      <c r="D42" s="20">
        <v>11.0</v>
      </c>
      <c r="E42" s="5" t="s">
        <v>178</v>
      </c>
      <c r="F42" s="5" t="s">
        <v>472</v>
      </c>
      <c r="G42" s="5" t="s">
        <v>469</v>
      </c>
      <c r="H42" s="20">
        <v>89.0</v>
      </c>
      <c r="I42" s="21">
        <v>45987.0</v>
      </c>
      <c r="J42" s="5" t="s">
        <v>461</v>
      </c>
      <c r="K42" s="5" t="str">
        <f t="array" ref="K42">IFERROR(
    XLOOKUP(F42, '颜色对照表'!A:A, '颜色对照表'!C:C),
    IFERROR(
        XLOOKUP(F42, '颜色对照表'!B:B, '颜色对照表'!C:C),
        "未匹配到颜色"
    )
)
</f>
        <v>blue</v>
      </c>
      <c r="L42" s="5" t="str">
        <f t="shared" si="1"/>
        <v>S539_blue_XL</v>
      </c>
      <c r="M42" s="20">
        <f>IFERROR(__xludf.DUMMYFUNCTION("INDEX(FILTER('对账单'!$E$2:$E1000, '对账单'!$A$2:$A1000 = A42, '对账单'!$G$2:$G1000 = E42),1)"),12.0)</f>
        <v>12</v>
      </c>
      <c r="N42" s="20">
        <f>IFERROR(__xludf.DUMMYFUNCTION("IFERROR(
    INDEX(
        FILTER('商品表'!$A:$IV, '商品表'!$A:$A = L42),
        1,
        MATCH(C42 &amp; ""：费用"", '商品表'!$1:$1, 0)
    ),
    ""无数据""
)
"),1.2)</f>
        <v>1.2</v>
      </c>
    </row>
    <row r="43" ht="14.25" customHeight="1">
      <c r="A43" s="17" t="s">
        <v>456</v>
      </c>
      <c r="B43" s="5" t="s">
        <v>468</v>
      </c>
      <c r="C43" s="5" t="s">
        <v>462</v>
      </c>
      <c r="D43" s="20">
        <v>11.0</v>
      </c>
      <c r="E43" s="5" t="s">
        <v>188</v>
      </c>
      <c r="F43" s="5" t="s">
        <v>464</v>
      </c>
      <c r="G43" s="5" t="s">
        <v>465</v>
      </c>
      <c r="H43" s="20">
        <v>30.0</v>
      </c>
      <c r="I43" s="21">
        <v>45987.0</v>
      </c>
      <c r="J43" s="5" t="s">
        <v>461</v>
      </c>
      <c r="K43" s="5" t="str">
        <f t="array" ref="K43">IFERROR(
    XLOOKUP(F43, '颜色对照表'!A:A, '颜色对照表'!C:C),
    IFERROR(
        XLOOKUP(F43, '颜色对照表'!B:B, '颜色对照表'!C:C),
        "未匹配到颜色"
    )
)
</f>
        <v>black</v>
      </c>
      <c r="L43" s="5" t="str">
        <f t="shared" si="1"/>
        <v>S516_black_2XL</v>
      </c>
      <c r="M43" s="20">
        <f>IFERROR(__xludf.DUMMYFUNCTION("INDEX(FILTER('对账单'!$E$2:$E1000, '对账单'!$A$2:$A1000 = A43, '对账单'!$G$2:$G1000 = E43),1)"),22.0)</f>
        <v>22</v>
      </c>
      <c r="N43" s="20">
        <f>IFERROR(__xludf.DUMMYFUNCTION("IFERROR(
    INDEX(
        FILTER('商品表'!$A:$IV, '商品表'!$A:$A = L43),
        1,
        MATCH(C43 &amp; ""：费用"", '商品表'!$1:$1, 0)
    ),
    ""无数据""
)
"),1.2)</f>
        <v>1.2</v>
      </c>
    </row>
    <row r="44" ht="14.25" customHeight="1">
      <c r="A44" s="17" t="s">
        <v>456</v>
      </c>
      <c r="B44" s="5" t="s">
        <v>468</v>
      </c>
      <c r="C44" s="5" t="s">
        <v>462</v>
      </c>
      <c r="D44" s="20">
        <v>11.0</v>
      </c>
      <c r="E44" s="5" t="s">
        <v>167</v>
      </c>
      <c r="F44" s="5" t="s">
        <v>467</v>
      </c>
      <c r="G44" s="5" t="s">
        <v>463</v>
      </c>
      <c r="H44" s="20">
        <v>190.0</v>
      </c>
      <c r="I44" s="21">
        <v>45987.0</v>
      </c>
      <c r="J44" s="5" t="s">
        <v>461</v>
      </c>
      <c r="K44" s="5" t="str">
        <f t="array" ref="K44">IFERROR(
    XLOOKUP(F44, '颜色对照表'!A:A, '颜色对照表'!C:C),
    IFERROR(
        XLOOKUP(F44, '颜色对照表'!B:B, '颜色对照表'!C:C),
        "未匹配到颜色"
    )
)
</f>
        <v>gray</v>
      </c>
      <c r="L44" s="5" t="str">
        <f t="shared" si="1"/>
        <v>S596_gray_L</v>
      </c>
      <c r="M44" s="20" t="str">
        <f>IFERROR(__xludf.DUMMYFUNCTION("INDEX(FILTER('对账单'!$E$2:$E1000, '对账单'!$A$2:$A1000 = A44, '对账单'!$G$2:$G1000 = E44),1)"),"#N/A")</f>
        <v>#N/A</v>
      </c>
      <c r="N44" s="20">
        <f>IFERROR(__xludf.DUMMYFUNCTION("IFERROR(
    INDEX(
        FILTER('商品表'!$A:$IV, '商品表'!$A:$A = L44),
        1,
        MATCH(C44 &amp; ""：费用"", '商品表'!$1:$1, 0)
    ),
    ""无数据""
)
"),1.2)</f>
        <v>1.2</v>
      </c>
    </row>
    <row r="45" ht="14.25" customHeight="1">
      <c r="M45" s="20"/>
    </row>
    <row r="46" ht="14.25" customHeight="1">
      <c r="M46" s="20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 ht="14.25" customHeight="1">
      <c r="A1" s="5" t="s">
        <v>448</v>
      </c>
      <c r="B1" s="5" t="s">
        <v>449</v>
      </c>
      <c r="C1" s="17" t="s">
        <v>450</v>
      </c>
      <c r="D1" s="17" t="s">
        <v>451</v>
      </c>
      <c r="E1" s="17" t="s">
        <v>452</v>
      </c>
      <c r="F1" s="17" t="s">
        <v>8</v>
      </c>
      <c r="G1" s="17" t="s">
        <v>9</v>
      </c>
      <c r="H1" s="17" t="s">
        <v>453</v>
      </c>
      <c r="I1" s="5" t="s">
        <v>454</v>
      </c>
      <c r="J1" s="5" t="s">
        <v>455</v>
      </c>
      <c r="K1" s="24" t="s">
        <v>490</v>
      </c>
      <c r="L1" s="24" t="s">
        <v>524</v>
      </c>
      <c r="M1" s="24" t="s">
        <v>525</v>
      </c>
      <c r="N1" s="24" t="s">
        <v>526</v>
      </c>
    </row>
    <row r="2" ht="14.25" customHeight="1">
      <c r="A2" s="17" t="s">
        <v>456</v>
      </c>
      <c r="B2" s="17" t="s">
        <v>457</v>
      </c>
      <c r="C2" s="17" t="s">
        <v>458</v>
      </c>
      <c r="D2" s="18">
        <v>1.0</v>
      </c>
      <c r="E2" s="17" t="s">
        <v>161</v>
      </c>
      <c r="F2" s="17" t="s">
        <v>459</v>
      </c>
      <c r="G2" s="17" t="s">
        <v>460</v>
      </c>
      <c r="H2" s="18">
        <v>53.0</v>
      </c>
      <c r="I2" s="19">
        <v>45987.0</v>
      </c>
      <c r="J2" s="5" t="s">
        <v>461</v>
      </c>
      <c r="K2" s="5" t="str">
        <f t="array" ref="K2">IFERROR(
    XLOOKUP(F2, '颜色对照表'!A:A, '颜色对照表'!C:C),
    IFERROR(
        XLOOKUP(F2, '颜色对照表'!B:B, '颜色对照表'!C:C),
        "未匹配到颜色"
    )
)
</f>
        <v>white</v>
      </c>
      <c r="L2" s="5" t="str">
        <f t="shared" ref="L2:L44" si="1">E2&amp;"_"&amp;K2&amp;"_"&amp;G2</f>
        <v>S537_white_M</v>
      </c>
      <c r="M2" s="20">
        <f t="array" ref="M2">IFERROR(
    INDEX('对账单'!$E:$E,
          MATCH(
              1,
              INDEX(
                  ('对账单'!$A:$A=A2)*
                  ('对账单'!$G:$G=E2),
              0),
          0)
    ),
    "无数据"
)
</f>
        <v>33</v>
      </c>
      <c r="N2" s="20">
        <f t="array" ref="N2">IFERROR(
    INDEX('商品表'!$A:$IV,
          MATCH(L2,'商品表'!$A:$A,0),
          MATCH(C2 &amp; "：费用",'商品表'!$1:$1,0)
    ),
    "无数据"
)
</f>
        <v>1</v>
      </c>
    </row>
    <row r="3" ht="14.25" customHeight="1">
      <c r="A3" s="17" t="s">
        <v>456</v>
      </c>
      <c r="B3" s="17" t="s">
        <v>457</v>
      </c>
      <c r="C3" s="17" t="s">
        <v>462</v>
      </c>
      <c r="D3" s="18">
        <v>1.0</v>
      </c>
      <c r="E3" s="17" t="s">
        <v>161</v>
      </c>
      <c r="F3" s="17" t="s">
        <v>459</v>
      </c>
      <c r="G3" s="17" t="s">
        <v>463</v>
      </c>
      <c r="H3" s="18">
        <v>99.0</v>
      </c>
      <c r="I3" s="19">
        <v>45987.0</v>
      </c>
      <c r="J3" s="5" t="s">
        <v>461</v>
      </c>
      <c r="K3" s="5" t="str">
        <f t="array" ref="K3">IFERROR(
    XLOOKUP(F3, '颜色对照表'!A:A, '颜色对照表'!C:C),
    IFERROR(
        XLOOKUP(F3, '颜色对照表'!B:B, '颜色对照表'!C:C),
        "未匹配到颜色"
    )
)
</f>
        <v>white</v>
      </c>
      <c r="L3" s="5" t="str">
        <f t="shared" si="1"/>
        <v>S537_white_L</v>
      </c>
      <c r="M3" s="20">
        <f t="array" ref="M3">IFERROR(
    INDEX('对账单'!$E:$E,
          MATCH(
              1,
              INDEX(
                  ('对账单'!$A:$A=A3)*
                  ('对账单'!$G:$G=E3),
              0),
          0)
    ),
    "无数据"
)
</f>
        <v>33</v>
      </c>
      <c r="N3" s="20">
        <f t="array" ref="N3">IFERROR(
    INDEX('商品表'!$A:$IV,
          MATCH(L3,'商品表'!$A:$A,0),
          MATCH(C3 &amp; "：费用",'商品表'!$1:$1,0)
    ),
    "无数据"
)
</f>
        <v>1.2</v>
      </c>
    </row>
    <row r="4" ht="14.25" customHeight="1">
      <c r="A4" s="17" t="s">
        <v>456</v>
      </c>
      <c r="B4" s="17" t="s">
        <v>457</v>
      </c>
      <c r="C4" s="17" t="s">
        <v>462</v>
      </c>
      <c r="D4" s="18">
        <v>1.0</v>
      </c>
      <c r="E4" s="17" t="s">
        <v>161</v>
      </c>
      <c r="F4" s="17" t="s">
        <v>464</v>
      </c>
      <c r="G4" s="17" t="s">
        <v>463</v>
      </c>
      <c r="H4" s="18">
        <v>68.0</v>
      </c>
      <c r="I4" s="19">
        <v>45987.0</v>
      </c>
      <c r="J4" s="5" t="s">
        <v>461</v>
      </c>
      <c r="K4" s="5" t="str">
        <f t="array" ref="K4">IFERROR(
    XLOOKUP(F4, '颜色对照表'!A:A, '颜色对照表'!C:C),
    IFERROR(
        XLOOKUP(F4, '颜色对照表'!B:B, '颜色对照表'!C:C),
        "未匹配到颜色"
    )
)
</f>
        <v>black</v>
      </c>
      <c r="L4" s="5" t="str">
        <f t="shared" si="1"/>
        <v>S537_black_L</v>
      </c>
      <c r="M4" s="20">
        <f t="array" ref="M4">IFERROR(
    INDEX('对账单'!$E:$E,
          MATCH(
              1,
              INDEX(
                  ('对账单'!$A:$A=A4)*
                  ('对账单'!$G:$G=E4),
              0),
          0)
    ),
    "无数据"
)
</f>
        <v>33</v>
      </c>
      <c r="N4" s="20">
        <f t="array" ref="N4">IFERROR(
    INDEX('商品表'!$A:$IV,
          MATCH(L4,'商品表'!$A:$A,0),
          MATCH(C4 &amp; "：费用",'商品表'!$1:$1,0)
    ),
    "无数据"
)
</f>
        <v>1.2</v>
      </c>
    </row>
    <row r="5" ht="14.25" customHeight="1">
      <c r="A5" s="17" t="s">
        <v>456</v>
      </c>
      <c r="B5" s="17" t="s">
        <v>457</v>
      </c>
      <c r="C5" s="17" t="s">
        <v>462</v>
      </c>
      <c r="D5" s="18">
        <v>1.0</v>
      </c>
      <c r="E5" s="17" t="s">
        <v>161</v>
      </c>
      <c r="F5" s="17" t="s">
        <v>464</v>
      </c>
      <c r="G5" s="17" t="s">
        <v>465</v>
      </c>
      <c r="H5" s="18">
        <v>68.0</v>
      </c>
      <c r="I5" s="19">
        <v>45987.0</v>
      </c>
      <c r="J5" s="5" t="s">
        <v>461</v>
      </c>
      <c r="K5" s="5" t="str">
        <f t="array" ref="K5">IFERROR(
    XLOOKUP(F5, '颜色对照表'!A:A, '颜色对照表'!C:C),
    IFERROR(
        XLOOKUP(F5, '颜色对照表'!B:B, '颜色对照表'!C:C),
        "未匹配到颜色"
    )
)
</f>
        <v>black</v>
      </c>
      <c r="L5" s="5" t="str">
        <f t="shared" si="1"/>
        <v>S537_black_2XL</v>
      </c>
      <c r="M5" s="20">
        <f t="array" ref="M5">IFERROR(
    INDEX('对账单'!$E:$E,
          MATCH(
              1,
              INDEX(
                  ('对账单'!$A:$A=A5)*
                  ('对账单'!$G:$G=E5),
              0),
          0)
    ),
    "无数据"
)
</f>
        <v>33</v>
      </c>
      <c r="N5" s="20">
        <f t="array" ref="N5">IFERROR(
    INDEX('商品表'!$A:$IV,
          MATCH(L5,'商品表'!$A:$A,0),
          MATCH(C5 &amp; "：费用",'商品表'!$1:$1,0)
    ),
    "无数据"
)
</f>
        <v>1.2</v>
      </c>
    </row>
    <row r="6" ht="14.25" customHeight="1">
      <c r="A6" s="17" t="s">
        <v>456</v>
      </c>
      <c r="B6" s="17" t="s">
        <v>457</v>
      </c>
      <c r="C6" s="17" t="s">
        <v>462</v>
      </c>
      <c r="D6" s="18">
        <v>1.0</v>
      </c>
      <c r="E6" s="17" t="s">
        <v>161</v>
      </c>
      <c r="F6" s="17" t="s">
        <v>464</v>
      </c>
      <c r="G6" s="17" t="s">
        <v>466</v>
      </c>
      <c r="H6" s="18">
        <v>69.0</v>
      </c>
      <c r="I6" s="19">
        <v>45987.0</v>
      </c>
      <c r="J6" s="5" t="s">
        <v>461</v>
      </c>
      <c r="K6" s="5" t="str">
        <f t="array" ref="K6">IFERROR(
    XLOOKUP(F6, '颜色对照表'!A:A, '颜色对照表'!C:C),
    IFERROR(
        XLOOKUP(F6, '颜色对照表'!B:B, '颜色对照表'!C:C),
        "未匹配到颜色"
    )
)
</f>
        <v>black</v>
      </c>
      <c r="L6" s="5" t="str">
        <f t="shared" si="1"/>
        <v>S537_black_3XL</v>
      </c>
      <c r="M6" s="20">
        <f t="array" ref="M6">IFERROR(
    INDEX('对账单'!$E:$E,
          MATCH(
              1,
              INDEX(
                  ('对账单'!$A:$A=A6)*
                  ('对账单'!$G:$G=E6),
              0),
          0)
    ),
    "无数据"
)
</f>
        <v>33</v>
      </c>
      <c r="N6" s="20">
        <f t="array" ref="N6">IFERROR(
    INDEX('商品表'!$A:$IV,
          MATCH(L6,'商品表'!$A:$A,0),
          MATCH(C6 &amp; "：费用",'商品表'!$1:$1,0)
    ),
    "无数据"
)
</f>
        <v>1.2</v>
      </c>
    </row>
    <row r="7" ht="14.25" customHeight="1">
      <c r="A7" s="17" t="s">
        <v>456</v>
      </c>
      <c r="B7" s="17" t="s">
        <v>457</v>
      </c>
      <c r="C7" s="17" t="s">
        <v>462</v>
      </c>
      <c r="D7" s="18">
        <v>2.0</v>
      </c>
      <c r="E7" s="17" t="s">
        <v>161</v>
      </c>
      <c r="F7" s="17" t="s">
        <v>464</v>
      </c>
      <c r="G7" s="17" t="s">
        <v>466</v>
      </c>
      <c r="H7" s="18">
        <v>50.0</v>
      </c>
      <c r="I7" s="19">
        <v>45987.0</v>
      </c>
      <c r="J7" s="5" t="s">
        <v>461</v>
      </c>
      <c r="K7" s="5" t="str">
        <f t="array" ref="K7">IFERROR(
    XLOOKUP(F7, '颜色对照表'!A:A, '颜色对照表'!C:C),
    IFERROR(
        XLOOKUP(F7, '颜色对照表'!B:B, '颜色对照表'!C:C),
        "未匹配到颜色"
    )
)
</f>
        <v>black</v>
      </c>
      <c r="L7" s="5" t="str">
        <f t="shared" si="1"/>
        <v>S537_black_3XL</v>
      </c>
      <c r="M7" s="20">
        <f t="array" ref="M7">IFERROR(
    INDEX('对账单'!$E:$E,
          MATCH(
              1,
              INDEX(
                  ('对账单'!$A:$A=A7)*
                  ('对账单'!$G:$G=E7),
              0),
          0)
    ),
    "无数据"
)
</f>
        <v>33</v>
      </c>
      <c r="N7" s="20">
        <f t="array" ref="N7">IFERROR(
    INDEX('商品表'!$A:$IV,
          MATCH(L7,'商品表'!$A:$A,0),
          MATCH(C7 &amp; "：费用",'商品表'!$1:$1,0)
    ),
    "无数据"
)
</f>
        <v>1.2</v>
      </c>
    </row>
    <row r="8" ht="14.25" customHeight="1">
      <c r="A8" s="17" t="s">
        <v>456</v>
      </c>
      <c r="B8" s="17" t="s">
        <v>457</v>
      </c>
      <c r="C8" s="17" t="s">
        <v>462</v>
      </c>
      <c r="D8" s="18">
        <v>2.0</v>
      </c>
      <c r="E8" s="17" t="s">
        <v>167</v>
      </c>
      <c r="F8" s="17" t="s">
        <v>467</v>
      </c>
      <c r="G8" s="17" t="s">
        <v>463</v>
      </c>
      <c r="H8" s="18">
        <v>272.0</v>
      </c>
      <c r="I8" s="19">
        <v>45987.0</v>
      </c>
      <c r="J8" s="5" t="s">
        <v>461</v>
      </c>
      <c r="K8" s="5" t="str">
        <f t="array" ref="K8">IFERROR(
    XLOOKUP(F8, '颜色对照表'!A:A, '颜色对照表'!C:C),
    IFERROR(
        XLOOKUP(F8, '颜色对照表'!B:B, '颜色对照表'!C:C),
        "未匹配到颜色"
    )
)
</f>
        <v>gray</v>
      </c>
      <c r="L8" s="5" t="str">
        <f t="shared" si="1"/>
        <v>S596_gray_L</v>
      </c>
      <c r="M8" s="20" t="str">
        <f t="array" ref="M8">IFERROR(
    INDEX('对账单'!$E:$E,
          MATCH(
              1,
              INDEX(
                  ('对账单'!$A:$A=A8)*
                  ('对账单'!$G:$G=E8),
              0),
          0)
    ),
    "无数据"
)
</f>
        <v>无数据</v>
      </c>
      <c r="N8" s="20">
        <f t="array" ref="N8">IFERROR(
    INDEX('商品表'!$A:$IV,
          MATCH(L8,'商品表'!$A:$A,0),
          MATCH(C8 &amp; "：费用",'商品表'!$1:$1,0)
    ),
    "无数据"
)
</f>
        <v>1.2</v>
      </c>
    </row>
    <row r="9" ht="14.25" customHeight="1">
      <c r="A9" s="17" t="s">
        <v>456</v>
      </c>
      <c r="B9" s="17" t="s">
        <v>468</v>
      </c>
      <c r="C9" s="17" t="s">
        <v>462</v>
      </c>
      <c r="D9" s="18">
        <v>1.0</v>
      </c>
      <c r="E9" s="17" t="s">
        <v>161</v>
      </c>
      <c r="F9" s="17" t="s">
        <v>459</v>
      </c>
      <c r="G9" s="17" t="s">
        <v>466</v>
      </c>
      <c r="H9" s="18">
        <v>92.0</v>
      </c>
      <c r="I9" s="19">
        <v>45987.0</v>
      </c>
      <c r="J9" s="5" t="s">
        <v>461</v>
      </c>
      <c r="K9" s="5" t="str">
        <f t="array" ref="K9">IFERROR(
    XLOOKUP(F9, '颜色对照表'!A:A, '颜色对照表'!C:C),
    IFERROR(
        XLOOKUP(F9, '颜色对照表'!B:B, '颜色对照表'!C:C),
        "未匹配到颜色"
    )
)
</f>
        <v>white</v>
      </c>
      <c r="L9" s="5" t="str">
        <f t="shared" si="1"/>
        <v>S537_white_3XL</v>
      </c>
      <c r="M9" s="20">
        <f t="array" ref="M9">IFERROR(
    INDEX('对账单'!$E:$E,
          MATCH(
              1,
              INDEX(
                  ('对账单'!$A:$A=A9)*
                  ('对账单'!$G:$G=E9),
              0),
          0)
    ),
    "无数据"
)
</f>
        <v>33</v>
      </c>
      <c r="N9" s="20">
        <f t="array" ref="N9">IFERROR(
    INDEX('商品表'!$A:$IV,
          MATCH(L9,'商品表'!$A:$A,0),
          MATCH(C9 &amp; "：费用",'商品表'!$1:$1,0)
    ),
    "无数据"
)
</f>
        <v>1.2</v>
      </c>
    </row>
    <row r="10" ht="14.25" customHeight="1">
      <c r="A10" s="17" t="s">
        <v>456</v>
      </c>
      <c r="B10" s="17" t="s">
        <v>468</v>
      </c>
      <c r="C10" s="17" t="s">
        <v>462</v>
      </c>
      <c r="D10" s="18">
        <v>1.0</v>
      </c>
      <c r="E10" s="17" t="s">
        <v>170</v>
      </c>
      <c r="F10" s="17" t="s">
        <v>464</v>
      </c>
      <c r="G10" s="17" t="s">
        <v>460</v>
      </c>
      <c r="H10" s="18">
        <v>98.0</v>
      </c>
      <c r="I10" s="19">
        <v>45987.0</v>
      </c>
      <c r="J10" s="5" t="s">
        <v>461</v>
      </c>
      <c r="K10" s="5" t="str">
        <f t="array" ref="K10">IFERROR(
    XLOOKUP(F10, '颜色对照表'!A:A, '颜色对照表'!C:C),
    IFERROR(
        XLOOKUP(F10, '颜色对照表'!B:B, '颜色对照表'!C:C),
        "未匹配到颜色"
    )
)
</f>
        <v>black</v>
      </c>
      <c r="L10" s="5" t="str">
        <f t="shared" si="1"/>
        <v>S671_black_M</v>
      </c>
      <c r="M10" s="20">
        <f t="array" ref="M10">IFERROR(
    INDEX('对账单'!$E:$E,
          MATCH(
              1,
              INDEX(
                  ('对账单'!$A:$A=A10)*
                  ('对账单'!$G:$G=E10),
              0),
          0)
    ),
    "无数据"
)
</f>
        <v>25</v>
      </c>
      <c r="N10" s="20">
        <f t="array" ref="N10">IFERROR(
    INDEX('商品表'!$A:$IV,
          MATCH(L10,'商品表'!$A:$A,0),
          MATCH(C10 &amp; "：费用",'商品表'!$1:$1,0)
    ),
    "无数据"
)
</f>
        <v>1.2</v>
      </c>
    </row>
    <row r="11" ht="14.25" customHeight="1">
      <c r="A11" s="17" t="s">
        <v>456</v>
      </c>
      <c r="B11" s="17" t="s">
        <v>468</v>
      </c>
      <c r="C11" s="17" t="s">
        <v>462</v>
      </c>
      <c r="D11" s="18">
        <v>1.0</v>
      </c>
      <c r="E11" s="17" t="s">
        <v>170</v>
      </c>
      <c r="F11" s="17" t="s">
        <v>464</v>
      </c>
      <c r="G11" s="17" t="s">
        <v>463</v>
      </c>
      <c r="H11" s="18">
        <v>100.0</v>
      </c>
      <c r="I11" s="19">
        <v>45987.0</v>
      </c>
      <c r="J11" s="5" t="s">
        <v>461</v>
      </c>
      <c r="K11" s="5" t="str">
        <f t="array" ref="K11">IFERROR(
    XLOOKUP(F11, '颜色对照表'!A:A, '颜色对照表'!C:C),
    IFERROR(
        XLOOKUP(F11, '颜色对照表'!B:B, '颜色对照表'!C:C),
        "未匹配到颜色"
    )
)
</f>
        <v>black</v>
      </c>
      <c r="L11" s="5" t="str">
        <f t="shared" si="1"/>
        <v>S671_black_L</v>
      </c>
      <c r="M11" s="20">
        <f t="array" ref="M11">IFERROR(
    INDEX('对账单'!$E:$E,
          MATCH(
              1,
              INDEX(
                  ('对账单'!$A:$A=A11)*
                  ('对账单'!$G:$G=E11),
              0),
          0)
    ),
    "无数据"
)
</f>
        <v>25</v>
      </c>
      <c r="N11" s="20">
        <f t="array" ref="N11">IFERROR(
    INDEX('商品表'!$A:$IV,
          MATCH(L11,'商品表'!$A:$A,0),
          MATCH(C11 &amp; "：费用",'商品表'!$1:$1,0)
    ),
    "无数据"
)
</f>
        <v>1.2</v>
      </c>
    </row>
    <row r="12" ht="14.25" customHeight="1">
      <c r="A12" s="17" t="s">
        <v>456</v>
      </c>
      <c r="B12" s="17" t="s">
        <v>468</v>
      </c>
      <c r="C12" s="17" t="s">
        <v>462</v>
      </c>
      <c r="D12" s="18">
        <v>1.0</v>
      </c>
      <c r="E12" s="17" t="s">
        <v>170</v>
      </c>
      <c r="F12" s="17" t="s">
        <v>464</v>
      </c>
      <c r="G12" s="17" t="s">
        <v>465</v>
      </c>
      <c r="H12" s="18">
        <v>10.0</v>
      </c>
      <c r="I12" s="19">
        <v>45987.0</v>
      </c>
      <c r="J12" s="5" t="s">
        <v>461</v>
      </c>
      <c r="K12" s="5" t="str">
        <f t="array" ref="K12">IFERROR(
    XLOOKUP(F12, '颜色对照表'!A:A, '颜色对照表'!C:C),
    IFERROR(
        XLOOKUP(F12, '颜色对照表'!B:B, '颜色对照表'!C:C),
        "未匹配到颜色"
    )
)
</f>
        <v>black</v>
      </c>
      <c r="L12" s="5" t="str">
        <f t="shared" si="1"/>
        <v>S671_black_2XL</v>
      </c>
      <c r="M12" s="20">
        <f t="array" ref="M12">IFERROR(
    INDEX('对账单'!$E:$E,
          MATCH(
              1,
              INDEX(
                  ('对账单'!$A:$A=A12)*
                  ('对账单'!$G:$G=E12),
              0),
          0)
    ),
    "无数据"
)
</f>
        <v>25</v>
      </c>
      <c r="N12" s="20">
        <f t="array" ref="N12">IFERROR(
    INDEX('商品表'!$A:$IV,
          MATCH(L12,'商品表'!$A:$A,0),
          MATCH(C12 &amp; "：费用",'商品表'!$1:$1,0)
    ),
    "无数据"
)
</f>
        <v>1.2</v>
      </c>
    </row>
    <row r="13" ht="14.25" customHeight="1">
      <c r="A13" s="17" t="s">
        <v>456</v>
      </c>
      <c r="B13" s="17" t="s">
        <v>468</v>
      </c>
      <c r="C13" s="17" t="s">
        <v>462</v>
      </c>
      <c r="D13" s="18">
        <v>2.0</v>
      </c>
      <c r="E13" s="17" t="s">
        <v>170</v>
      </c>
      <c r="F13" s="17" t="s">
        <v>464</v>
      </c>
      <c r="G13" s="17" t="s">
        <v>465</v>
      </c>
      <c r="H13" s="18">
        <v>140.0</v>
      </c>
      <c r="I13" s="19">
        <v>45987.0</v>
      </c>
      <c r="J13" s="5" t="s">
        <v>461</v>
      </c>
      <c r="K13" s="5" t="str">
        <f t="array" ref="K13">IFERROR(
    XLOOKUP(F13, '颜色对照表'!A:A, '颜色对照表'!C:C),
    IFERROR(
        XLOOKUP(F13, '颜色对照表'!B:B, '颜色对照表'!C:C),
        "未匹配到颜色"
    )
)
</f>
        <v>black</v>
      </c>
      <c r="L13" s="5" t="str">
        <f t="shared" si="1"/>
        <v>S671_black_2XL</v>
      </c>
      <c r="M13" s="20">
        <f t="array" ref="M13">IFERROR(
    INDEX('对账单'!$E:$E,
          MATCH(
              1,
              INDEX(
                  ('对账单'!$A:$A=A13)*
                  ('对账单'!$G:$G=E13),
              0),
          0)
    ),
    "无数据"
)
</f>
        <v>25</v>
      </c>
      <c r="N13" s="20">
        <f t="array" ref="N13">IFERROR(
    INDEX('商品表'!$A:$IV,
          MATCH(L13,'商品表'!$A:$A,0),
          MATCH(C13 &amp; "：费用",'商品表'!$1:$1,0)
    ),
    "无数据"
)
</f>
        <v>1.2</v>
      </c>
    </row>
    <row r="14" ht="14.25" customHeight="1">
      <c r="A14" s="17" t="s">
        <v>456</v>
      </c>
      <c r="B14" s="17" t="s">
        <v>468</v>
      </c>
      <c r="C14" s="17" t="s">
        <v>462</v>
      </c>
      <c r="D14" s="18">
        <v>2.0</v>
      </c>
      <c r="E14" s="17" t="s">
        <v>174</v>
      </c>
      <c r="F14" s="17" t="s">
        <v>464</v>
      </c>
      <c r="G14" s="17" t="s">
        <v>460</v>
      </c>
      <c r="H14" s="18">
        <v>65.0</v>
      </c>
      <c r="I14" s="19">
        <v>45987.0</v>
      </c>
      <c r="J14" s="5" t="s">
        <v>461</v>
      </c>
      <c r="K14" s="5" t="str">
        <f t="array" ref="K14">IFERROR(
    XLOOKUP(F14, '颜色对照表'!A:A, '颜色对照表'!C:C),
    IFERROR(
        XLOOKUP(F14, '颜色对照表'!B:B, '颜色对照表'!C:C),
        "未匹配到颜色"
    )
)
</f>
        <v>black</v>
      </c>
      <c r="L14" s="5" t="str">
        <f t="shared" si="1"/>
        <v>S546_black_M</v>
      </c>
      <c r="M14" s="20">
        <f t="array" ref="M14">IFERROR(
    INDEX('对账单'!$E:$E,
          MATCH(
              1,
              INDEX(
                  ('对账单'!$A:$A=A14)*
                  ('对账单'!$G:$G=E14),
              0),
          0)
    ),
    "无数据"
)
</f>
        <v>32</v>
      </c>
      <c r="N14" s="20">
        <f t="array" ref="N14">IFERROR(
    INDEX('商品表'!$A:$IV,
          MATCH(L14,'商品表'!$A:$A,0),
          MATCH(C14 &amp; "：费用",'商品表'!$1:$1,0)
    ),
    "无数据"
)
</f>
        <v>1.2</v>
      </c>
    </row>
    <row r="15" ht="14.25" customHeight="1">
      <c r="A15" s="17" t="s">
        <v>456</v>
      </c>
      <c r="B15" s="17" t="s">
        <v>468</v>
      </c>
      <c r="C15" s="17" t="s">
        <v>462</v>
      </c>
      <c r="D15" s="18">
        <v>2.0</v>
      </c>
      <c r="E15" s="17" t="s">
        <v>174</v>
      </c>
      <c r="F15" s="17" t="s">
        <v>464</v>
      </c>
      <c r="G15" s="17" t="s">
        <v>463</v>
      </c>
      <c r="H15" s="18">
        <v>69.0</v>
      </c>
      <c r="I15" s="19">
        <v>45987.0</v>
      </c>
      <c r="J15" s="5" t="s">
        <v>461</v>
      </c>
      <c r="K15" s="5" t="str">
        <f t="array" ref="K15">IFERROR(
    XLOOKUP(F15, '颜色对照表'!A:A, '颜色对照表'!C:C),
    IFERROR(
        XLOOKUP(F15, '颜色对照表'!B:B, '颜色对照表'!C:C),
        "未匹配到颜色"
    )
)
</f>
        <v>black</v>
      </c>
      <c r="L15" s="5" t="str">
        <f t="shared" si="1"/>
        <v>S546_black_L</v>
      </c>
      <c r="M15" s="20">
        <f t="array" ref="M15">IFERROR(
    INDEX('对账单'!$E:$E,
          MATCH(
              1,
              INDEX(
                  ('对账单'!$A:$A=A15)*
                  ('对账单'!$G:$G=E15),
              0),
          0)
    ),
    "无数据"
)
</f>
        <v>32</v>
      </c>
      <c r="N15" s="20">
        <f t="array" ref="N15">IFERROR(
    INDEX('商品表'!$A:$IV,
          MATCH(L15,'商品表'!$A:$A,0),
          MATCH(C15 &amp; "：费用",'商品表'!$1:$1,0)
    ),
    "无数据"
)
</f>
        <v>1.2</v>
      </c>
    </row>
    <row r="16" ht="14.25" customHeight="1">
      <c r="A16" s="17" t="s">
        <v>456</v>
      </c>
      <c r="B16" s="17" t="s">
        <v>468</v>
      </c>
      <c r="C16" s="17" t="s">
        <v>462</v>
      </c>
      <c r="D16" s="18">
        <v>3.0</v>
      </c>
      <c r="E16" s="17" t="s">
        <v>174</v>
      </c>
      <c r="F16" s="17" t="s">
        <v>464</v>
      </c>
      <c r="G16" s="17" t="s">
        <v>469</v>
      </c>
      <c r="H16" s="18">
        <v>70.0</v>
      </c>
      <c r="I16" s="19">
        <v>45987.0</v>
      </c>
      <c r="J16" s="5" t="s">
        <v>461</v>
      </c>
      <c r="K16" s="5" t="str">
        <f t="array" ref="K16">IFERROR(
    XLOOKUP(F16, '颜色对照表'!A:A, '颜色对照表'!C:C),
    IFERROR(
        XLOOKUP(F16, '颜色对照表'!B:B, '颜色对照表'!C:C),
        "未匹配到颜色"
    )
)
</f>
        <v>black</v>
      </c>
      <c r="L16" s="5" t="str">
        <f t="shared" si="1"/>
        <v>S546_black_XL</v>
      </c>
      <c r="M16" s="20">
        <f t="array" ref="M16">IFERROR(
    INDEX('对账单'!$E:$E,
          MATCH(
              1,
              INDEX(
                  ('对账单'!$A:$A=A16)*
                  ('对账单'!$G:$G=E16),
              0),
          0)
    ),
    "无数据"
)
</f>
        <v>32</v>
      </c>
      <c r="N16" s="20">
        <f t="array" ref="N16">IFERROR(
    INDEX('商品表'!$A:$IV,
          MATCH(L16,'商品表'!$A:$A,0),
          MATCH(C16 &amp; "：费用",'商品表'!$1:$1,0)
    ),
    "无数据"
)
</f>
        <v>1.2</v>
      </c>
    </row>
    <row r="17" ht="14.25" customHeight="1">
      <c r="A17" s="17" t="s">
        <v>456</v>
      </c>
      <c r="B17" s="17" t="s">
        <v>468</v>
      </c>
      <c r="C17" s="17" t="s">
        <v>462</v>
      </c>
      <c r="D17" s="18">
        <v>3.0</v>
      </c>
      <c r="E17" s="17" t="s">
        <v>178</v>
      </c>
      <c r="F17" s="17" t="s">
        <v>464</v>
      </c>
      <c r="G17" s="17" t="s">
        <v>463</v>
      </c>
      <c r="H17" s="18">
        <v>80.0</v>
      </c>
      <c r="I17" s="19">
        <v>45987.0</v>
      </c>
      <c r="J17" s="5" t="s">
        <v>461</v>
      </c>
      <c r="K17" s="5" t="str">
        <f t="array" ref="K17">IFERROR(
    XLOOKUP(F17, '颜色对照表'!A:A, '颜色对照表'!C:C),
    IFERROR(
        XLOOKUP(F17, '颜色对照表'!B:B, '颜色对照表'!C:C),
        "未匹配到颜色"
    )
)
</f>
        <v>black</v>
      </c>
      <c r="L17" s="5" t="str">
        <f t="shared" si="1"/>
        <v>S539_black_L</v>
      </c>
      <c r="M17" s="20">
        <f t="array" ref="M17">IFERROR(
    INDEX('对账单'!$E:$E,
          MATCH(
              1,
              INDEX(
                  ('对账单'!$A:$A=A17)*
                  ('对账单'!$G:$G=E17),
              0),
          0)
    ),
    "无数据"
)
</f>
        <v>12</v>
      </c>
      <c r="N17" s="20">
        <f t="array" ref="N17">IFERROR(
    INDEX('商品表'!$A:$IV,
          MATCH(L17,'商品表'!$A:$A,0),
          MATCH(C17 &amp; "：费用",'商品表'!$1:$1,0)
    ),
    "无数据"
)
</f>
        <v>1.2</v>
      </c>
    </row>
    <row r="18" ht="14.25" customHeight="1">
      <c r="A18" s="17" t="s">
        <v>456</v>
      </c>
      <c r="B18" s="17" t="s">
        <v>468</v>
      </c>
      <c r="C18" s="17" t="s">
        <v>462</v>
      </c>
      <c r="D18" s="18">
        <v>3.0</v>
      </c>
      <c r="E18" s="17" t="s">
        <v>180</v>
      </c>
      <c r="F18" s="17" t="s">
        <v>470</v>
      </c>
      <c r="G18" s="17" t="s">
        <v>469</v>
      </c>
      <c r="H18" s="18">
        <v>77.0</v>
      </c>
      <c r="I18" s="19">
        <v>45987.0</v>
      </c>
      <c r="J18" s="5" t="s">
        <v>461</v>
      </c>
      <c r="K18" s="5" t="str">
        <f t="array" ref="K18">IFERROR(
    XLOOKUP(F18, '颜色对照表'!A:A, '颜色对照表'!C:C),
    IFERROR(
        XLOOKUP(F18, '颜色对照表'!B:B, '颜色对照表'!C:C),
        "未匹配到颜色"
    )
)
</f>
        <v>darkgray</v>
      </c>
      <c r="L18" s="5" t="str">
        <f t="shared" si="1"/>
        <v>S568_darkgray_XL</v>
      </c>
      <c r="M18" s="20">
        <f t="array" ref="M18">IFERROR(
    INDEX('对账单'!$E:$E,
          MATCH(
              1,
              INDEX(
                  ('对账单'!$A:$A=A18)*
                  ('对账单'!$G:$G=E18),
              0),
          0)
    ),
    "无数据"
)
</f>
        <v>26</v>
      </c>
      <c r="N18" s="20">
        <f t="array" ref="N18">IFERROR(
    INDEX('商品表'!$A:$IV,
          MATCH(L18,'商品表'!$A:$A,0),
          MATCH(C18 &amp; "：费用",'商品表'!$1:$1,0)
    ),
    "无数据"
)
</f>
        <v>1.2</v>
      </c>
    </row>
    <row r="19" ht="14.25" customHeight="1">
      <c r="A19" s="17" t="s">
        <v>456</v>
      </c>
      <c r="B19" s="17" t="s">
        <v>468</v>
      </c>
      <c r="C19" s="17" t="s">
        <v>462</v>
      </c>
      <c r="D19" s="18">
        <v>3.0</v>
      </c>
      <c r="E19" s="17" t="s">
        <v>180</v>
      </c>
      <c r="F19" s="17" t="s">
        <v>470</v>
      </c>
      <c r="G19" s="17" t="s">
        <v>465</v>
      </c>
      <c r="H19" s="18">
        <v>40.0</v>
      </c>
      <c r="I19" s="19">
        <v>45987.0</v>
      </c>
      <c r="J19" s="5" t="s">
        <v>461</v>
      </c>
      <c r="K19" s="5" t="str">
        <f t="array" ref="K19">IFERROR(
    XLOOKUP(F19, '颜色对照表'!A:A, '颜色对照表'!C:C),
    IFERROR(
        XLOOKUP(F19, '颜色对照表'!B:B, '颜色对照表'!C:C),
        "未匹配到颜色"
    )
)
</f>
        <v>darkgray</v>
      </c>
      <c r="L19" s="5" t="str">
        <f t="shared" si="1"/>
        <v>S568_darkgray_2XL</v>
      </c>
      <c r="M19" s="20">
        <f t="array" ref="M19">IFERROR(
    INDEX('对账单'!$E:$E,
          MATCH(
              1,
              INDEX(
                  ('对账单'!$A:$A=A19)*
                  ('对账单'!$G:$G=E19),
              0),
          0)
    ),
    "无数据"
)
</f>
        <v>26</v>
      </c>
      <c r="N19" s="20">
        <f t="array" ref="N19">IFERROR(
    INDEX('商品表'!$A:$IV,
          MATCH(L19,'商品表'!$A:$A,0),
          MATCH(C19 &amp; "：费用",'商品表'!$1:$1,0)
    ),
    "无数据"
)
</f>
        <v>1.2</v>
      </c>
    </row>
    <row r="20" ht="14.25" customHeight="1">
      <c r="A20" s="17" t="s">
        <v>456</v>
      </c>
      <c r="B20" s="17" t="s">
        <v>468</v>
      </c>
      <c r="C20" s="17" t="s">
        <v>462</v>
      </c>
      <c r="D20" s="18">
        <v>3.0</v>
      </c>
      <c r="E20" s="17" t="s">
        <v>180</v>
      </c>
      <c r="F20" s="17" t="s">
        <v>470</v>
      </c>
      <c r="G20" s="17" t="s">
        <v>466</v>
      </c>
      <c r="H20" s="18">
        <v>21.0</v>
      </c>
      <c r="I20" s="19">
        <v>45987.0</v>
      </c>
      <c r="J20" s="5" t="s">
        <v>461</v>
      </c>
      <c r="K20" s="5" t="str">
        <f t="array" ref="K20">IFERROR(
    XLOOKUP(F20, '颜色对照表'!A:A, '颜色对照表'!C:C),
    IFERROR(
        XLOOKUP(F20, '颜色对照表'!B:B, '颜色对照表'!C:C),
        "未匹配到颜色"
    )
)
</f>
        <v>darkgray</v>
      </c>
      <c r="L20" s="5" t="str">
        <f t="shared" si="1"/>
        <v>S568_darkgray_3XL</v>
      </c>
      <c r="M20" s="20">
        <f t="array" ref="M20">IFERROR(
    INDEX('对账单'!$E:$E,
          MATCH(
              1,
              INDEX(
                  ('对账单'!$A:$A=A20)*
                  ('对账单'!$G:$G=E20),
              0),
          0)
    ),
    "无数据"
)
</f>
        <v>26</v>
      </c>
      <c r="N20" s="20">
        <f t="array" ref="N20">IFERROR(
    INDEX('商品表'!$A:$IV,
          MATCH(L20,'商品表'!$A:$A,0),
          MATCH(C20 &amp; "：费用",'商品表'!$1:$1,0)
    ),
    "无数据"
)
</f>
        <v>1.2</v>
      </c>
    </row>
    <row r="21" ht="14.25" customHeight="1">
      <c r="A21" s="17" t="s">
        <v>456</v>
      </c>
      <c r="B21" s="17" t="s">
        <v>468</v>
      </c>
      <c r="C21" s="17" t="s">
        <v>462</v>
      </c>
      <c r="D21" s="18">
        <v>4.0</v>
      </c>
      <c r="E21" s="17" t="s">
        <v>180</v>
      </c>
      <c r="F21" s="17" t="s">
        <v>470</v>
      </c>
      <c r="G21" s="17" t="s">
        <v>466</v>
      </c>
      <c r="H21" s="18">
        <v>60.0</v>
      </c>
      <c r="I21" s="19">
        <v>45987.0</v>
      </c>
      <c r="J21" s="5" t="s">
        <v>461</v>
      </c>
      <c r="K21" s="5" t="str">
        <f t="array" ref="K21">IFERROR(
    XLOOKUP(F21, '颜色对照表'!A:A, '颜色对照表'!C:C),
    IFERROR(
        XLOOKUP(F21, '颜色对照表'!B:B, '颜色对照表'!C:C),
        "未匹配到颜色"
    )
)
</f>
        <v>darkgray</v>
      </c>
      <c r="L21" s="5" t="str">
        <f t="shared" si="1"/>
        <v>S568_darkgray_3XL</v>
      </c>
      <c r="M21" s="20">
        <f t="array" ref="M21">IFERROR(
    INDEX('对账单'!$E:$E,
          MATCH(
              1,
              INDEX(
                  ('对账单'!$A:$A=A21)*
                  ('对账单'!$G:$G=E21),
              0),
          0)
    ),
    "无数据"
)
</f>
        <v>26</v>
      </c>
      <c r="N21" s="20">
        <f t="array" ref="N21">IFERROR(
    INDEX('商品表'!$A:$IV,
          MATCH(L21,'商品表'!$A:$A,0),
          MATCH(C21 &amp; "：费用",'商品表'!$1:$1,0)
    ),
    "无数据"
)
</f>
        <v>1.2</v>
      </c>
    </row>
    <row r="22" ht="14.25" customHeight="1">
      <c r="A22" s="17" t="s">
        <v>456</v>
      </c>
      <c r="B22" s="17" t="s">
        <v>468</v>
      </c>
      <c r="C22" s="17" t="s">
        <v>462</v>
      </c>
      <c r="D22" s="18">
        <v>4.0</v>
      </c>
      <c r="E22" s="17" t="s">
        <v>167</v>
      </c>
      <c r="F22" s="17" t="s">
        <v>471</v>
      </c>
      <c r="G22" s="17" t="s">
        <v>466</v>
      </c>
      <c r="H22" s="18">
        <v>47.0</v>
      </c>
      <c r="I22" s="19">
        <v>45987.0</v>
      </c>
      <c r="J22" s="5" t="s">
        <v>461</v>
      </c>
      <c r="K22" s="5" t="str">
        <f t="array" ref="K22">IFERROR(
    XLOOKUP(F22, '颜色对照表'!A:A, '颜色对照表'!C:C),
    IFERROR(
        XLOOKUP(F22, '颜色对照表'!B:B, '颜色对照表'!C:C),
        "未匹配到颜色"
    )
)
</f>
        <v>offwhite</v>
      </c>
      <c r="L22" s="5" t="str">
        <f t="shared" si="1"/>
        <v>S596_offwhite_3XL</v>
      </c>
      <c r="M22" s="20" t="str">
        <f t="array" ref="M22">IFERROR(
    INDEX('对账单'!$E:$E,
          MATCH(
              1,
              INDEX(
                  ('对账单'!$A:$A=A22)*
                  ('对账单'!$G:$G=E22),
              0),
          0)
    ),
    "无数据"
)
</f>
        <v>无数据</v>
      </c>
      <c r="N22" s="20">
        <f t="array" ref="N22">IFERROR(
    INDEX('商品表'!$A:$IV,
          MATCH(L22,'商品表'!$A:$A,0),
          MATCH(C22 &amp; "：费用",'商品表'!$1:$1,0)
    ),
    "无数据"
)
</f>
        <v>1.2</v>
      </c>
    </row>
    <row r="23" ht="14.25" customHeight="1">
      <c r="A23" s="17" t="s">
        <v>456</v>
      </c>
      <c r="B23" s="17" t="s">
        <v>468</v>
      </c>
      <c r="C23" s="17" t="s">
        <v>462</v>
      </c>
      <c r="D23" s="18">
        <v>4.0</v>
      </c>
      <c r="E23" s="17" t="s">
        <v>167</v>
      </c>
      <c r="F23" s="17" t="s">
        <v>471</v>
      </c>
      <c r="G23" s="17" t="s">
        <v>465</v>
      </c>
      <c r="H23" s="18">
        <v>47.0</v>
      </c>
      <c r="I23" s="19">
        <v>45987.0</v>
      </c>
      <c r="J23" s="5" t="s">
        <v>461</v>
      </c>
      <c r="K23" s="5" t="str">
        <f t="array" ref="K23">IFERROR(
    XLOOKUP(F23, '颜色对照表'!A:A, '颜色对照表'!C:C),
    IFERROR(
        XLOOKUP(F23, '颜色对照表'!B:B, '颜色对照表'!C:C),
        "未匹配到颜色"
    )
)
</f>
        <v>offwhite</v>
      </c>
      <c r="L23" s="5" t="str">
        <f t="shared" si="1"/>
        <v>S596_offwhite_2XL</v>
      </c>
      <c r="M23" s="20" t="str">
        <f t="array" ref="M23">IFERROR(
    INDEX('对账单'!$E:$E,
          MATCH(
              1,
              INDEX(
                  ('对账单'!$A:$A=A23)*
                  ('对账单'!$G:$G=E23),
              0),
          0)
    ),
    "无数据"
)
</f>
        <v>无数据</v>
      </c>
      <c r="N23" s="20">
        <f t="array" ref="N23">IFERROR(
    INDEX('商品表'!$A:$IV,
          MATCH(L23,'商品表'!$A:$A,0),
          MATCH(C23 &amp; "：费用",'商品表'!$1:$1,0)
    ),
    "无数据"
)
</f>
        <v>1.2</v>
      </c>
    </row>
    <row r="24" ht="14.25" customHeight="1">
      <c r="A24" s="17" t="s">
        <v>456</v>
      </c>
      <c r="B24" s="17" t="s">
        <v>468</v>
      </c>
      <c r="C24" s="17" t="s">
        <v>462</v>
      </c>
      <c r="D24" s="18">
        <v>4.0</v>
      </c>
      <c r="E24" s="17" t="s">
        <v>167</v>
      </c>
      <c r="F24" s="17" t="s">
        <v>471</v>
      </c>
      <c r="G24" s="17" t="s">
        <v>463</v>
      </c>
      <c r="H24" s="18">
        <v>48.0</v>
      </c>
      <c r="I24" s="19">
        <v>45987.0</v>
      </c>
      <c r="J24" s="5" t="s">
        <v>461</v>
      </c>
      <c r="K24" s="5" t="str">
        <f t="array" ref="K24">IFERROR(
    XLOOKUP(F24, '颜色对照表'!A:A, '颜色对照表'!C:C),
    IFERROR(
        XLOOKUP(F24, '颜色对照表'!B:B, '颜色对照表'!C:C),
        "未匹配到颜色"
    )
)
</f>
        <v>offwhite</v>
      </c>
      <c r="L24" s="5" t="str">
        <f t="shared" si="1"/>
        <v>S596_offwhite_L</v>
      </c>
      <c r="M24" s="20" t="str">
        <f t="array" ref="M24">IFERROR(
    INDEX('对账单'!$E:$E,
          MATCH(
              1,
              INDEX(
                  ('对账单'!$A:$A=A24)*
                  ('对账单'!$G:$G=E24),
              0),
          0)
    ),
    "无数据"
)
</f>
        <v>无数据</v>
      </c>
      <c r="N24" s="20">
        <f t="array" ref="N24">IFERROR(
    INDEX('商品表'!$A:$IV,
          MATCH(L24,'商品表'!$A:$A,0),
          MATCH(C24 &amp; "：费用",'商品表'!$1:$1,0)
    ),
    "无数据"
)
</f>
        <v>1.2</v>
      </c>
    </row>
    <row r="25" ht="14.25" customHeight="1">
      <c r="A25" s="17" t="s">
        <v>456</v>
      </c>
      <c r="B25" s="17" t="s">
        <v>468</v>
      </c>
      <c r="C25" s="17" t="s">
        <v>462</v>
      </c>
      <c r="D25" s="18">
        <v>4.0</v>
      </c>
      <c r="E25" s="17" t="s">
        <v>167</v>
      </c>
      <c r="F25" s="17" t="s">
        <v>471</v>
      </c>
      <c r="G25" s="17" t="s">
        <v>460</v>
      </c>
      <c r="H25" s="18">
        <v>46.0</v>
      </c>
      <c r="I25" s="19">
        <v>45987.0</v>
      </c>
      <c r="J25" s="5" t="s">
        <v>461</v>
      </c>
      <c r="K25" s="5" t="str">
        <f t="array" ref="K25">IFERROR(
    XLOOKUP(F25, '颜色对照表'!A:A, '颜色对照表'!C:C),
    IFERROR(
        XLOOKUP(F25, '颜色对照表'!B:B, '颜色对照表'!C:C),
        "未匹配到颜色"
    )
)
</f>
        <v>offwhite</v>
      </c>
      <c r="L25" s="5" t="str">
        <f t="shared" si="1"/>
        <v>S596_offwhite_M</v>
      </c>
      <c r="M25" s="20" t="str">
        <f t="array" ref="M25">IFERROR(
    INDEX('对账单'!$E:$E,
          MATCH(
              1,
              INDEX(
                  ('对账单'!$A:$A=A25)*
                  ('对账单'!$G:$G=E25),
              0),
          0)
    ),
    "无数据"
)
</f>
        <v>无数据</v>
      </c>
      <c r="N25" s="20">
        <f t="array" ref="N25">IFERROR(
    INDEX('商品表'!$A:$IV,
          MATCH(L25,'商品表'!$A:$A,0),
          MATCH(C25 &amp; "：费用",'商品表'!$1:$1,0)
    ),
    "无数据"
)
</f>
        <v>1.2</v>
      </c>
    </row>
    <row r="26" ht="14.25" customHeight="1">
      <c r="A26" s="17" t="s">
        <v>456</v>
      </c>
      <c r="B26" s="17" t="s">
        <v>468</v>
      </c>
      <c r="C26" s="17" t="s">
        <v>462</v>
      </c>
      <c r="D26" s="18">
        <v>11.0</v>
      </c>
      <c r="E26" s="17" t="s">
        <v>167</v>
      </c>
      <c r="F26" s="17" t="s">
        <v>473</v>
      </c>
      <c r="G26" s="17" t="s">
        <v>463</v>
      </c>
      <c r="H26" s="18">
        <v>190.0</v>
      </c>
      <c r="I26" s="19">
        <v>45987.0</v>
      </c>
      <c r="J26" s="5" t="s">
        <v>461</v>
      </c>
      <c r="K26" s="5" t="str">
        <f t="array" ref="K26">IFERROR(
    XLOOKUP(F26, '颜色对照表'!A:A, '颜色对照表'!C:C),
    IFERROR(
        XLOOKUP(F26, '颜色对照表'!B:B, '颜色对照表'!C:C),
        "未匹配到颜色"
    )
)
</f>
        <v>navyblue</v>
      </c>
      <c r="L26" s="5" t="str">
        <f t="shared" si="1"/>
        <v>S596_navyblue_L</v>
      </c>
      <c r="M26" s="20" t="str">
        <f t="array" ref="M26">IFERROR(
    INDEX('对账单'!$E:$E,
          MATCH(
              1,
              INDEX(
                  ('对账单'!$A:$A=A26)*
                  ('对账单'!$G:$G=E26),
              0),
          0)
    ),
    "无数据"
)
</f>
        <v>无数据</v>
      </c>
      <c r="N26" s="20" t="str">
        <f t="array" ref="N26">IFERROR(
    INDEX('商品表'!$A:$IV,
          MATCH(L26,'商品表'!$A:$A,0),
          MATCH(C26 &amp; "：费用",'商品表'!$1:$1,0)
    ),
    "无数据"
)
</f>
        <v>无数据</v>
      </c>
    </row>
    <row r="27" ht="14.25" customHeight="1">
      <c r="A27" s="17" t="s">
        <v>456</v>
      </c>
      <c r="B27" s="17" t="s">
        <v>468</v>
      </c>
      <c r="C27" s="17" t="s">
        <v>462</v>
      </c>
      <c r="D27" s="18">
        <v>11.0</v>
      </c>
      <c r="E27" s="17" t="s">
        <v>167</v>
      </c>
      <c r="F27" s="17" t="s">
        <v>527</v>
      </c>
      <c r="G27" s="17" t="s">
        <v>469</v>
      </c>
      <c r="H27" s="18">
        <v>190.0</v>
      </c>
      <c r="I27" s="19">
        <v>45987.0</v>
      </c>
      <c r="J27" s="5" t="s">
        <v>461</v>
      </c>
      <c r="K27" s="5" t="str">
        <f t="array" ref="K27">IFERROR(
    XLOOKUP(F27, '颜色对照表'!A:A, '颜色对照表'!C:C),
    IFERROR(
        XLOOKUP(F27, '颜色对照表'!B:B, '颜色对照表'!C:C),
        "未匹配到颜色"
    )
)
</f>
        <v>未匹配到颜色</v>
      </c>
      <c r="L27" s="5" t="str">
        <f t="shared" si="1"/>
        <v>S596_未匹配到颜色_XL</v>
      </c>
      <c r="M27" s="20" t="str">
        <f t="array" ref="M27">IFERROR(
    INDEX('对账单'!$E:$E,
          MATCH(
              1,
              INDEX(
                  ('对账单'!$A:$A=A27)*
                  ('对账单'!$G:$G=E27),
              0),
          0)
    ),
    "无数据"
)
</f>
        <v>无数据</v>
      </c>
      <c r="N27" s="20" t="str">
        <f t="array" ref="N27">IFERROR(
    INDEX('商品表'!$A:$IV,
          MATCH(L27,'商品表'!$A:$A,0),
          MATCH(C27 &amp; "：费用",'商品表'!$1:$1,0)
    ),
    "无数据"
)
</f>
        <v>无数据</v>
      </c>
    </row>
    <row r="28" ht="14.25" customHeight="1">
      <c r="A28" s="17" t="s">
        <v>456</v>
      </c>
      <c r="B28" s="5" t="s">
        <v>468</v>
      </c>
      <c r="C28" s="5" t="s">
        <v>462</v>
      </c>
      <c r="D28" s="20">
        <v>4.0</v>
      </c>
      <c r="E28" s="5" t="s">
        <v>188</v>
      </c>
      <c r="F28" s="5" t="s">
        <v>464</v>
      </c>
      <c r="G28" s="5" t="s">
        <v>466</v>
      </c>
      <c r="H28" s="20">
        <v>30.0</v>
      </c>
      <c r="I28" s="21">
        <v>45987.0</v>
      </c>
      <c r="J28" s="5" t="s">
        <v>461</v>
      </c>
      <c r="K28" s="5" t="str">
        <f t="array" ref="K28">IFERROR(
    XLOOKUP(F28, '颜色对照表'!A:A, '颜色对照表'!C:C),
    IFERROR(
        XLOOKUP(F28, '颜色对照表'!B:B, '颜色对照表'!C:C),
        "未匹配到颜色"
    )
)
</f>
        <v>black</v>
      </c>
      <c r="L28" s="5" t="str">
        <f t="shared" si="1"/>
        <v>S516_black_3XL</v>
      </c>
      <c r="M28" s="20">
        <f t="array" ref="M28">IFERROR(
    INDEX('对账单'!$E:$E,
          MATCH(
              1,
              INDEX(
                  ('对账单'!$A:$A=A28)*
                  ('对账单'!$G:$G=E28),
              0),
          0)
    ),
    "无数据"
)
</f>
        <v>22</v>
      </c>
      <c r="N28" s="20">
        <f t="array" ref="N28">IFERROR(
    INDEX('商品表'!$A:$IV,
          MATCH(L28,'商品表'!$A:$A,0),
          MATCH(C28 &amp; "：费用",'商品表'!$1:$1,0)
    ),
    "无数据"
)
</f>
        <v>1.2</v>
      </c>
    </row>
    <row r="29" ht="14.25" customHeight="1">
      <c r="A29" s="17" t="s">
        <v>456</v>
      </c>
      <c r="B29" s="5" t="s">
        <v>468</v>
      </c>
      <c r="C29" s="5" t="s">
        <v>462</v>
      </c>
      <c r="D29" s="20">
        <v>5.0</v>
      </c>
      <c r="E29" s="5" t="s">
        <v>188</v>
      </c>
      <c r="F29" s="5" t="s">
        <v>464</v>
      </c>
      <c r="G29" s="5" t="s">
        <v>466</v>
      </c>
      <c r="H29" s="20">
        <v>120.0</v>
      </c>
      <c r="I29" s="21">
        <v>45987.0</v>
      </c>
      <c r="J29" s="5" t="s">
        <v>461</v>
      </c>
      <c r="K29" s="5" t="str">
        <f t="array" ref="K29">IFERROR(
    XLOOKUP(F29, '颜色对照表'!A:A, '颜色对照表'!C:C),
    IFERROR(
        XLOOKUP(F29, '颜色对照表'!B:B, '颜色对照表'!C:C),
        "未匹配到颜色"
    )
)
</f>
        <v>black</v>
      </c>
      <c r="L29" s="5" t="str">
        <f t="shared" si="1"/>
        <v>S516_black_3XL</v>
      </c>
      <c r="M29" s="20">
        <f t="array" ref="M29">IFERROR(
    INDEX('对账单'!$E:$E,
          MATCH(
              1,
              INDEX(
                  ('对账单'!$A:$A=A29)*
                  ('对账单'!$G:$G=E29),
              0),
          0)
    ),
    "无数据"
)
</f>
        <v>22</v>
      </c>
      <c r="N29" s="20">
        <f t="array" ref="N29">IFERROR(
    INDEX('商品表'!$A:$IV,
          MATCH(L29,'商品表'!$A:$A,0),
          MATCH(C29 &amp; "：费用",'商品表'!$1:$1,0)
    ),
    "无数据"
)
</f>
        <v>1.2</v>
      </c>
    </row>
    <row r="30" ht="14.25" customHeight="1">
      <c r="A30" s="17" t="s">
        <v>456</v>
      </c>
      <c r="B30" s="5" t="s">
        <v>468</v>
      </c>
      <c r="C30" s="5" t="s">
        <v>462</v>
      </c>
      <c r="D30" s="20">
        <v>5.0</v>
      </c>
      <c r="E30" s="5" t="s">
        <v>188</v>
      </c>
      <c r="F30" s="5" t="s">
        <v>464</v>
      </c>
      <c r="G30" s="5" t="s">
        <v>465</v>
      </c>
      <c r="H30" s="20">
        <v>57.0</v>
      </c>
      <c r="I30" s="21">
        <v>45987.0</v>
      </c>
      <c r="J30" s="5" t="s">
        <v>461</v>
      </c>
      <c r="K30" s="5" t="str">
        <f t="array" ref="K30">IFERROR(
    XLOOKUP(F30, '颜色对照表'!A:A, '颜色对照表'!C:C),
    IFERROR(
        XLOOKUP(F30, '颜色对照表'!B:B, '颜色对照表'!C:C),
        "未匹配到颜色"
    )
)
</f>
        <v>black</v>
      </c>
      <c r="L30" s="5" t="str">
        <f t="shared" si="1"/>
        <v>S516_black_2XL</v>
      </c>
      <c r="M30" s="20">
        <f t="array" ref="M30">IFERROR(
    INDEX('对账单'!$E:$E,
          MATCH(
              1,
              INDEX(
                  ('对账单'!$A:$A=A30)*
                  ('对账单'!$G:$G=E30),
              0),
          0)
    ),
    "无数据"
)
</f>
        <v>22</v>
      </c>
      <c r="N30" s="20">
        <f t="array" ref="N30">IFERROR(
    INDEX('商品表'!$A:$IV,
          MATCH(L30,'商品表'!$A:$A,0),
          MATCH(C30 &amp; "：费用",'商品表'!$1:$1,0)
    ),
    "无数据"
)
</f>
        <v>1.2</v>
      </c>
    </row>
    <row r="31" ht="14.25" customHeight="1">
      <c r="A31" s="17" t="s">
        <v>456</v>
      </c>
      <c r="B31" s="5" t="s">
        <v>468</v>
      </c>
      <c r="C31" s="5" t="s">
        <v>462</v>
      </c>
      <c r="D31" s="20">
        <v>5.0</v>
      </c>
      <c r="E31" s="5" t="s">
        <v>191</v>
      </c>
      <c r="F31" s="5" t="s">
        <v>464</v>
      </c>
      <c r="G31" s="5" t="s">
        <v>466</v>
      </c>
      <c r="H31" s="20">
        <v>28.0</v>
      </c>
      <c r="I31" s="21">
        <v>45987.0</v>
      </c>
      <c r="J31" s="5" t="s">
        <v>461</v>
      </c>
      <c r="K31" s="5" t="str">
        <f t="array" ref="K31">IFERROR(
    XLOOKUP(F31, '颜色对照表'!A:A, '颜色对照表'!C:C),
    IFERROR(
        XLOOKUP(F31, '颜色对照表'!B:B, '颜色对照表'!C:C),
        "未匹配到颜色"
    )
)
</f>
        <v>black</v>
      </c>
      <c r="L31" s="5" t="str">
        <f t="shared" si="1"/>
        <v>S533_black_3XL</v>
      </c>
      <c r="M31" s="20">
        <f t="array" ref="M31">IFERROR(
    INDEX('对账单'!$E:$E,
          MATCH(
              1,
              INDEX(
                  ('对账单'!$A:$A=A31)*
                  ('对账单'!$G:$G=E31),
              0),
          0)
    ),
    "无数据"
)
</f>
        <v>23</v>
      </c>
      <c r="N31" s="20">
        <f t="array" ref="N31">IFERROR(
    INDEX('商品表'!$A:$IV,
          MATCH(L31,'商品表'!$A:$A,0),
          MATCH(C31 &amp; "：费用",'商品表'!$1:$1,0)
    ),
    "无数据"
)
</f>
        <v>1.2</v>
      </c>
    </row>
    <row r="32" ht="14.25" customHeight="1">
      <c r="A32" s="17" t="s">
        <v>456</v>
      </c>
      <c r="B32" s="5" t="s">
        <v>468</v>
      </c>
      <c r="C32" s="5" t="s">
        <v>462</v>
      </c>
      <c r="D32" s="20">
        <v>5.0</v>
      </c>
      <c r="E32" s="5" t="s">
        <v>191</v>
      </c>
      <c r="F32" s="5" t="s">
        <v>464</v>
      </c>
      <c r="G32" s="5" t="s">
        <v>465</v>
      </c>
      <c r="H32" s="20">
        <v>26.0</v>
      </c>
      <c r="I32" s="21">
        <v>45987.0</v>
      </c>
      <c r="J32" s="5" t="s">
        <v>461</v>
      </c>
      <c r="K32" s="5" t="str">
        <f t="array" ref="K32">IFERROR(
    XLOOKUP(F32, '颜色对照表'!A:A, '颜色对照表'!C:C),
    IFERROR(
        XLOOKUP(F32, '颜色对照表'!B:B, '颜色对照表'!C:C),
        "未匹配到颜色"
    )
)
</f>
        <v>black</v>
      </c>
      <c r="L32" s="5" t="str">
        <f t="shared" si="1"/>
        <v>S533_black_2XL</v>
      </c>
      <c r="M32" s="20">
        <f t="array" ref="M32">IFERROR(
    INDEX('对账单'!$E:$E,
          MATCH(
              1,
              INDEX(
                  ('对账单'!$A:$A=A32)*
                  ('对账单'!$G:$G=E32),
              0),
          0)
    ),
    "无数据"
)
</f>
        <v>23</v>
      </c>
      <c r="N32" s="20">
        <f t="array" ref="N32">IFERROR(
    INDEX('商品表'!$A:$IV,
          MATCH(L32,'商品表'!$A:$A,0),
          MATCH(C32 &amp; "：费用",'商品表'!$1:$1,0)
    ),
    "无数据"
)
</f>
        <v>1.2</v>
      </c>
    </row>
    <row r="33" ht="14.25" customHeight="1">
      <c r="A33" s="17" t="s">
        <v>456</v>
      </c>
      <c r="B33" s="5" t="s">
        <v>468</v>
      </c>
      <c r="C33" s="5" t="s">
        <v>462</v>
      </c>
      <c r="D33" s="20">
        <v>5.0</v>
      </c>
      <c r="E33" s="5" t="s">
        <v>191</v>
      </c>
      <c r="F33" s="5" t="s">
        <v>464</v>
      </c>
      <c r="G33" s="5" t="s">
        <v>469</v>
      </c>
      <c r="H33" s="20">
        <v>33.0</v>
      </c>
      <c r="I33" s="21">
        <v>45987.0</v>
      </c>
      <c r="J33" s="5" t="s">
        <v>461</v>
      </c>
      <c r="K33" s="5" t="str">
        <f t="array" ref="K33">IFERROR(
    XLOOKUP(F33, '颜色对照表'!A:A, '颜色对照表'!C:C),
    IFERROR(
        XLOOKUP(F33, '颜色对照表'!B:B, '颜色对照表'!C:C),
        "未匹配到颜色"
    )
)
</f>
        <v>black</v>
      </c>
      <c r="L33" s="5" t="str">
        <f t="shared" si="1"/>
        <v>S533_black_XL</v>
      </c>
      <c r="M33" s="20">
        <f t="array" ref="M33">IFERROR(
    INDEX('对账单'!$E:$E,
          MATCH(
              1,
              INDEX(
                  ('对账单'!$A:$A=A33)*
                  ('对账单'!$G:$G=E33),
              0),
          0)
    ),
    "无数据"
)
</f>
        <v>23</v>
      </c>
      <c r="N33" s="20">
        <f t="array" ref="N33">IFERROR(
    INDEX('商品表'!$A:$IV,
          MATCH(L33,'商品表'!$A:$A,0),
          MATCH(C33 &amp; "：费用",'商品表'!$1:$1,0)
    ),
    "无数据"
)
</f>
        <v>1.2</v>
      </c>
    </row>
    <row r="34" ht="14.25" customHeight="1">
      <c r="A34" s="17" t="s">
        <v>456</v>
      </c>
      <c r="B34" s="5" t="s">
        <v>468</v>
      </c>
      <c r="C34" s="5" t="s">
        <v>462</v>
      </c>
      <c r="D34" s="20">
        <v>6.0</v>
      </c>
      <c r="E34" s="5" t="s">
        <v>191</v>
      </c>
      <c r="F34" s="5" t="s">
        <v>464</v>
      </c>
      <c r="G34" s="5" t="s">
        <v>469</v>
      </c>
      <c r="H34" s="20">
        <v>50.0</v>
      </c>
      <c r="I34" s="21">
        <v>45987.0</v>
      </c>
      <c r="J34" s="5" t="s">
        <v>461</v>
      </c>
      <c r="K34" s="5" t="str">
        <f t="array" ref="K34">IFERROR(
    XLOOKUP(F34, '颜色对照表'!A:A, '颜色对照表'!C:C),
    IFERROR(
        XLOOKUP(F34, '颜色对照表'!B:B, '颜色对照表'!C:C),
        "未匹配到颜色"
    )
)
</f>
        <v>black</v>
      </c>
      <c r="L34" s="5" t="str">
        <f t="shared" si="1"/>
        <v>S533_black_XL</v>
      </c>
      <c r="M34" s="20">
        <f t="array" ref="M34">IFERROR(
    INDEX('对账单'!$E:$E,
          MATCH(
              1,
              INDEX(
                  ('对账单'!$A:$A=A34)*
                  ('对账单'!$G:$G=E34),
              0),
          0)
    ),
    "无数据"
)
</f>
        <v>23</v>
      </c>
      <c r="N34" s="20">
        <f t="array" ref="N34">IFERROR(
    INDEX('商品表'!$A:$IV,
          MATCH(L34,'商品表'!$A:$A,0),
          MATCH(C34 &amp; "：费用",'商品表'!$1:$1,0)
    ),
    "无数据"
)
</f>
        <v>1.2</v>
      </c>
    </row>
    <row r="35" ht="14.25" customHeight="1">
      <c r="A35" s="17" t="s">
        <v>456</v>
      </c>
      <c r="B35" s="5" t="s">
        <v>468</v>
      </c>
      <c r="C35" s="5" t="s">
        <v>462</v>
      </c>
      <c r="D35" s="20">
        <v>6.0</v>
      </c>
      <c r="E35" s="5" t="s">
        <v>167</v>
      </c>
      <c r="F35" s="5" t="s">
        <v>467</v>
      </c>
      <c r="G35" s="5" t="s">
        <v>460</v>
      </c>
      <c r="H35" s="20">
        <v>270.0</v>
      </c>
      <c r="I35" s="21">
        <v>45987.0</v>
      </c>
      <c r="J35" s="5" t="s">
        <v>461</v>
      </c>
      <c r="K35" s="5" t="str">
        <f t="array" ref="K35">IFERROR(
    XLOOKUP(F35, '颜色对照表'!A:A, '颜色对照表'!C:C),
    IFERROR(
        XLOOKUP(F35, '颜色对照表'!B:B, '颜色对照表'!C:C),
        "未匹配到颜色"
    )
)
</f>
        <v>gray</v>
      </c>
      <c r="L35" s="5" t="str">
        <f t="shared" si="1"/>
        <v>S596_gray_M</v>
      </c>
      <c r="M35" s="20" t="str">
        <f t="array" ref="M35">IFERROR(
    INDEX('对账单'!$E:$E,
          MATCH(
              1,
              INDEX(
                  ('对账单'!$A:$A=A35)*
                  ('对账单'!$G:$G=E35),
              0),
          0)
    ),
    "无数据"
)
</f>
        <v>无数据</v>
      </c>
      <c r="N35" s="20">
        <f t="array" ref="N35">IFERROR(
    INDEX('商品表'!$A:$IV,
          MATCH(L35,'商品表'!$A:$A,0),
          MATCH(C35 &amp; "：费用",'商品表'!$1:$1,0)
    ),
    "无数据"
)
</f>
        <v>1.2</v>
      </c>
    </row>
    <row r="36" ht="14.25" customHeight="1">
      <c r="A36" s="17" t="s">
        <v>456</v>
      </c>
      <c r="B36" s="5" t="s">
        <v>468</v>
      </c>
      <c r="C36" s="5" t="s">
        <v>462</v>
      </c>
      <c r="D36" s="20">
        <v>7.0</v>
      </c>
      <c r="E36" s="5" t="s">
        <v>167</v>
      </c>
      <c r="F36" s="5" t="s">
        <v>467</v>
      </c>
      <c r="G36" s="5" t="s">
        <v>469</v>
      </c>
      <c r="H36" s="20">
        <v>280.0</v>
      </c>
      <c r="I36" s="21">
        <v>45987.0</v>
      </c>
      <c r="J36" s="5" t="s">
        <v>461</v>
      </c>
      <c r="K36" s="5" t="str">
        <f t="array" ref="K36">IFERROR(
    XLOOKUP(F36, '颜色对照表'!A:A, '颜色对照表'!C:C),
    IFERROR(
        XLOOKUP(F36, '颜色对照表'!B:B, '颜色对照表'!C:C),
        "未匹配到颜色"
    )
)
</f>
        <v>gray</v>
      </c>
      <c r="L36" s="5" t="str">
        <f t="shared" si="1"/>
        <v>S596_gray_XL</v>
      </c>
      <c r="M36" s="20" t="str">
        <f t="array" ref="M36">IFERROR(
    INDEX('对账单'!$E:$E,
          MATCH(
              1,
              INDEX(
                  ('对账单'!$A:$A=A36)*
                  ('对账单'!$G:$G=E36),
              0),
          0)
    ),
    "无数据"
)
</f>
        <v>无数据</v>
      </c>
      <c r="N36" s="20">
        <f t="array" ref="N36">IFERROR(
    INDEX('商品表'!$A:$IV,
          MATCH(L36,'商品表'!$A:$A,0),
          MATCH(C36 &amp; "：费用",'商品表'!$1:$1,0)
    ),
    "无数据"
)
</f>
        <v>1.2</v>
      </c>
    </row>
    <row r="37" ht="14.25" customHeight="1">
      <c r="A37" s="17" t="s">
        <v>456</v>
      </c>
      <c r="B37" s="5" t="s">
        <v>468</v>
      </c>
      <c r="C37" s="5" t="s">
        <v>462</v>
      </c>
      <c r="D37" s="20">
        <v>8.0</v>
      </c>
      <c r="E37" s="5" t="s">
        <v>167</v>
      </c>
      <c r="F37" s="5" t="s">
        <v>467</v>
      </c>
      <c r="G37" s="5" t="s">
        <v>469</v>
      </c>
      <c r="H37" s="20">
        <v>230.0</v>
      </c>
      <c r="I37" s="21">
        <v>45987.0</v>
      </c>
      <c r="J37" s="5" t="s">
        <v>461</v>
      </c>
      <c r="K37" s="5" t="str">
        <f t="array" ref="K37">IFERROR(
    XLOOKUP(F37, '颜色对照表'!A:A, '颜色对照表'!C:C),
    IFERROR(
        XLOOKUP(F37, '颜色对照表'!B:B, '颜色对照表'!C:C),
        "未匹配到颜色"
    )
)
</f>
        <v>gray</v>
      </c>
      <c r="L37" s="5" t="str">
        <f t="shared" si="1"/>
        <v>S596_gray_XL</v>
      </c>
      <c r="M37" s="20" t="str">
        <f t="array" ref="M37">IFERROR(
    INDEX('对账单'!$E:$E,
          MATCH(
              1,
              INDEX(
                  ('对账单'!$A:$A=A37)*
                  ('对账单'!$G:$G=E37),
              0),
          0)
    ),
    "无数据"
)
</f>
        <v>无数据</v>
      </c>
      <c r="N37" s="20">
        <f t="array" ref="N37">IFERROR(
    INDEX('商品表'!$A:$IV,
          MATCH(L37,'商品表'!$A:$A,0),
          MATCH(C37 &amp; "：费用",'商品表'!$1:$1,0)
    ),
    "无数据"
)
</f>
        <v>1.2</v>
      </c>
    </row>
    <row r="38" ht="14.25" customHeight="1">
      <c r="A38" s="17" t="s">
        <v>456</v>
      </c>
      <c r="B38" s="5" t="s">
        <v>468</v>
      </c>
      <c r="C38" s="5" t="s">
        <v>462</v>
      </c>
      <c r="D38" s="20">
        <v>8.0</v>
      </c>
      <c r="E38" s="5" t="s">
        <v>167</v>
      </c>
      <c r="F38" s="5" t="s">
        <v>467</v>
      </c>
      <c r="G38" s="5" t="s">
        <v>465</v>
      </c>
      <c r="H38" s="20">
        <v>50.0</v>
      </c>
      <c r="I38" s="21">
        <v>45987.0</v>
      </c>
      <c r="J38" s="5" t="s">
        <v>461</v>
      </c>
      <c r="K38" s="5" t="str">
        <f t="array" ref="K38">IFERROR(
    XLOOKUP(F38, '颜色对照表'!A:A, '颜色对照表'!C:C),
    IFERROR(
        XLOOKUP(F38, '颜色对照表'!B:B, '颜色对照表'!C:C),
        "未匹配到颜色"
    )
)
</f>
        <v>gray</v>
      </c>
      <c r="L38" s="5" t="str">
        <f t="shared" si="1"/>
        <v>S596_gray_2XL</v>
      </c>
      <c r="M38" s="20" t="str">
        <f t="array" ref="M38">IFERROR(
    INDEX('对账单'!$E:$E,
          MATCH(
              1,
              INDEX(
                  ('对账单'!$A:$A=A38)*
                  ('对账单'!$G:$G=E38),
              0),
          0)
    ),
    "无数据"
)
</f>
        <v>无数据</v>
      </c>
      <c r="N38" s="20">
        <f t="array" ref="N38">IFERROR(
    INDEX('商品表'!$A:$IV,
          MATCH(L38,'商品表'!$A:$A,0),
          MATCH(C38 &amp; "：费用",'商品表'!$1:$1,0)
    ),
    "无数据"
)
</f>
        <v>1.2</v>
      </c>
    </row>
    <row r="39" ht="14.25" customHeight="1">
      <c r="A39" s="17" t="s">
        <v>456</v>
      </c>
      <c r="B39" s="5" t="s">
        <v>468</v>
      </c>
      <c r="C39" s="5" t="s">
        <v>462</v>
      </c>
      <c r="D39" s="20">
        <v>9.0</v>
      </c>
      <c r="E39" s="5" t="s">
        <v>167</v>
      </c>
      <c r="F39" s="5" t="s">
        <v>467</v>
      </c>
      <c r="G39" s="5" t="s">
        <v>465</v>
      </c>
      <c r="H39" s="20">
        <v>150.0</v>
      </c>
      <c r="I39" s="21">
        <v>45987.0</v>
      </c>
      <c r="J39" s="5" t="s">
        <v>461</v>
      </c>
      <c r="K39" s="5" t="str">
        <f t="array" ref="K39">IFERROR(
    XLOOKUP(F39, '颜色对照表'!A:A, '颜色对照表'!C:C),
    IFERROR(
        XLOOKUP(F39, '颜色对照表'!B:B, '颜色对照表'!C:C),
        "未匹配到颜色"
    )
)
</f>
        <v>gray</v>
      </c>
      <c r="L39" s="5" t="str">
        <f t="shared" si="1"/>
        <v>S596_gray_2XL</v>
      </c>
      <c r="M39" s="20" t="str">
        <f t="array" ref="M39">IFERROR(
    INDEX('对账单'!$E:$E,
          MATCH(
              1,
              INDEX(
                  ('对账单'!$A:$A=A39)*
                  ('对账单'!$G:$G=E39),
              0),
          0)
    ),
    "无数据"
)
</f>
        <v>无数据</v>
      </c>
      <c r="N39" s="20">
        <f t="array" ref="N39">IFERROR(
    INDEX('商品表'!$A:$IV,
          MATCH(L39,'商品表'!$A:$A,0),
          MATCH(C39 &amp; "：费用",'商品表'!$1:$1,0)
    ),
    "无数据"
)
</f>
        <v>1.2</v>
      </c>
    </row>
    <row r="40" ht="14.25" customHeight="1">
      <c r="A40" s="17" t="s">
        <v>456</v>
      </c>
      <c r="B40" s="5" t="s">
        <v>468</v>
      </c>
      <c r="C40" s="5" t="s">
        <v>462</v>
      </c>
      <c r="D40" s="20">
        <v>9.0</v>
      </c>
      <c r="E40" s="5" t="s">
        <v>167</v>
      </c>
      <c r="F40" s="5" t="s">
        <v>467</v>
      </c>
      <c r="G40" s="5" t="s">
        <v>466</v>
      </c>
      <c r="H40" s="20">
        <v>130.0</v>
      </c>
      <c r="I40" s="21">
        <v>45987.0</v>
      </c>
      <c r="J40" s="5" t="s">
        <v>461</v>
      </c>
      <c r="K40" s="5" t="str">
        <f t="array" ref="K40">IFERROR(
    XLOOKUP(F40, '颜色对照表'!A:A, '颜色对照表'!C:C),
    IFERROR(
        XLOOKUP(F40, '颜色对照表'!B:B, '颜色对照表'!C:C),
        "未匹配到颜色"
    )
)
</f>
        <v>gray</v>
      </c>
      <c r="L40" s="5" t="str">
        <f t="shared" si="1"/>
        <v>S596_gray_3XL</v>
      </c>
      <c r="M40" s="20" t="str">
        <f t="array" ref="M40">IFERROR(
    INDEX('对账单'!$E:$E,
          MATCH(
              1,
              INDEX(
                  ('对账单'!$A:$A=A40)*
                  ('对账单'!$G:$G=E40),
              0),
          0)
    ),
    "无数据"
)
</f>
        <v>无数据</v>
      </c>
      <c r="N40" s="20">
        <f t="array" ref="N40">IFERROR(
    INDEX('商品表'!$A:$IV,
          MATCH(L40,'商品表'!$A:$A,0),
          MATCH(C40 &amp; "：费用",'商品表'!$1:$1,0)
    ),
    "无数据"
)
</f>
        <v>1.2</v>
      </c>
    </row>
    <row r="41" ht="14.25" customHeight="1">
      <c r="A41" s="17" t="s">
        <v>456</v>
      </c>
      <c r="B41" s="5" t="s">
        <v>468</v>
      </c>
      <c r="C41" s="5" t="s">
        <v>462</v>
      </c>
      <c r="D41" s="20">
        <v>10.0</v>
      </c>
      <c r="E41" s="5" t="s">
        <v>167</v>
      </c>
      <c r="F41" s="5" t="s">
        <v>467</v>
      </c>
      <c r="G41" s="5" t="s">
        <v>466</v>
      </c>
      <c r="H41" s="20">
        <v>290.0</v>
      </c>
      <c r="I41" s="21">
        <v>45987.0</v>
      </c>
      <c r="J41" s="5" t="s">
        <v>461</v>
      </c>
      <c r="K41" s="5" t="str">
        <f t="array" ref="K41">IFERROR(
    XLOOKUP(F41, '颜色对照表'!A:A, '颜色对照表'!C:C),
    IFERROR(
        XLOOKUP(F41, '颜色对照表'!B:B, '颜色对照表'!C:C),
        "未匹配到颜色"
    )
)
</f>
        <v>gray</v>
      </c>
      <c r="L41" s="5" t="str">
        <f t="shared" si="1"/>
        <v>S596_gray_3XL</v>
      </c>
      <c r="M41" s="20" t="str">
        <f t="array" ref="M41">IFERROR(
    INDEX('对账单'!$E:$E,
          MATCH(
              1,
              INDEX(
                  ('对账单'!$A:$A=A41)*
                  ('对账单'!$G:$G=E41),
              0),
          0)
    ),
    "无数据"
)
</f>
        <v>无数据</v>
      </c>
      <c r="N41" s="20">
        <f t="array" ref="N41">IFERROR(
    INDEX('商品表'!$A:$IV,
          MATCH(L41,'商品表'!$A:$A,0),
          MATCH(C41 &amp; "：费用",'商品表'!$1:$1,0)
    ),
    "无数据"
)
</f>
        <v>1.2</v>
      </c>
    </row>
    <row r="42" ht="14.25" customHeight="1">
      <c r="A42" s="17" t="s">
        <v>456</v>
      </c>
      <c r="B42" s="5" t="s">
        <v>468</v>
      </c>
      <c r="C42" s="5" t="s">
        <v>462</v>
      </c>
      <c r="D42" s="20">
        <v>11.0</v>
      </c>
      <c r="E42" s="5" t="s">
        <v>178</v>
      </c>
      <c r="F42" s="5" t="s">
        <v>472</v>
      </c>
      <c r="G42" s="5" t="s">
        <v>469</v>
      </c>
      <c r="H42" s="20">
        <v>89.0</v>
      </c>
      <c r="I42" s="21">
        <v>45987.0</v>
      </c>
      <c r="J42" s="5" t="s">
        <v>461</v>
      </c>
      <c r="K42" s="5" t="str">
        <f t="array" ref="K42">IFERROR(
    XLOOKUP(F42, '颜色对照表'!A:A, '颜色对照表'!C:C),
    IFERROR(
        XLOOKUP(F42, '颜色对照表'!B:B, '颜色对照表'!C:C),
        "未匹配到颜色"
    )
)
</f>
        <v>blue</v>
      </c>
      <c r="L42" s="5" t="str">
        <f t="shared" si="1"/>
        <v>S539_blue_XL</v>
      </c>
      <c r="M42" s="20">
        <f t="array" ref="M42">IFERROR(
    INDEX('对账单'!$E:$E,
          MATCH(
              1,
              INDEX(
                  ('对账单'!$A:$A=A42)*
                  ('对账单'!$G:$G=E42),
              0),
          0)
    ),
    "无数据"
)
</f>
        <v>12</v>
      </c>
      <c r="N42" s="20">
        <f t="array" ref="N42">IFERROR(
    INDEX('商品表'!$A:$IV,
          MATCH(L42,'商品表'!$A:$A,0),
          MATCH(C42 &amp; "：费用",'商品表'!$1:$1,0)
    ),
    "无数据"
)
</f>
        <v>1.2</v>
      </c>
    </row>
    <row r="43" ht="14.25" customHeight="1">
      <c r="A43" s="17" t="s">
        <v>456</v>
      </c>
      <c r="B43" s="5" t="s">
        <v>468</v>
      </c>
      <c r="C43" s="5" t="s">
        <v>462</v>
      </c>
      <c r="D43" s="20">
        <v>11.0</v>
      </c>
      <c r="E43" s="5" t="s">
        <v>188</v>
      </c>
      <c r="F43" s="5" t="s">
        <v>464</v>
      </c>
      <c r="G43" s="5" t="s">
        <v>465</v>
      </c>
      <c r="H43" s="20">
        <v>30.0</v>
      </c>
      <c r="I43" s="21">
        <v>45987.0</v>
      </c>
      <c r="J43" s="5" t="s">
        <v>461</v>
      </c>
      <c r="K43" s="5" t="str">
        <f t="array" ref="K43">IFERROR(
    XLOOKUP(F43, '颜色对照表'!A:A, '颜色对照表'!C:C),
    IFERROR(
        XLOOKUP(F43, '颜色对照表'!B:B, '颜色对照表'!C:C),
        "未匹配到颜色"
    )
)
</f>
        <v>black</v>
      </c>
      <c r="L43" s="5" t="str">
        <f t="shared" si="1"/>
        <v>S516_black_2XL</v>
      </c>
      <c r="M43" s="20">
        <f t="array" ref="M43">IFERROR(
    INDEX('对账单'!$E:$E,
          MATCH(
              1,
              INDEX(
                  ('对账单'!$A:$A=A43)*
                  ('对账单'!$G:$G=E43),
              0),
          0)
    ),
    "无数据"
)
</f>
        <v>22</v>
      </c>
      <c r="N43" s="20">
        <f t="array" ref="N43">IFERROR(
    INDEX('商品表'!$A:$IV,
          MATCH(L43,'商品表'!$A:$A,0),
          MATCH(C43 &amp; "：费用",'商品表'!$1:$1,0)
    ),
    "无数据"
)
</f>
        <v>1.2</v>
      </c>
    </row>
    <row r="44" ht="14.25" customHeight="1">
      <c r="A44" s="17" t="s">
        <v>456</v>
      </c>
      <c r="B44" s="5" t="s">
        <v>468</v>
      </c>
      <c r="C44" s="5" t="s">
        <v>462</v>
      </c>
      <c r="D44" s="20">
        <v>11.0</v>
      </c>
      <c r="E44" s="5" t="s">
        <v>167</v>
      </c>
      <c r="F44" s="5" t="s">
        <v>467</v>
      </c>
      <c r="G44" s="5" t="s">
        <v>463</v>
      </c>
      <c r="H44" s="20">
        <v>190.0</v>
      </c>
      <c r="I44" s="21">
        <v>45987.0</v>
      </c>
      <c r="J44" s="5" t="s">
        <v>461</v>
      </c>
      <c r="K44" s="5" t="str">
        <f t="array" ref="K44">IFERROR(
    XLOOKUP(F44, '颜色对照表'!A:A, '颜色对照表'!C:C),
    IFERROR(
        XLOOKUP(F44, '颜色对照表'!B:B, '颜色对照表'!C:C),
        "未匹配到颜色"
    )
)
</f>
        <v>gray</v>
      </c>
      <c r="L44" s="5" t="str">
        <f t="shared" si="1"/>
        <v>S596_gray_L</v>
      </c>
      <c r="M44" s="20" t="str">
        <f t="array" ref="M44">IFERROR(
    INDEX('对账单'!$E:$E,
          MATCH(
              1,
              INDEX(
                  ('对账单'!$A:$A=A44)*
                  ('对账单'!$G:$G=E44),
              0),
          0)
    ),
    "无数据"
)
</f>
        <v>无数据</v>
      </c>
      <c r="N44" s="20">
        <f t="array" ref="N44">IFERROR(
    INDEX('商品表'!$A:$IV,
          MATCH(L44,'商品表'!$A:$A,0),
          MATCH(C44 &amp; "：费用",'商品表'!$1:$1,0)
    ),
    "无数据"
)
</f>
        <v>1.2</v>
      </c>
    </row>
    <row r="45" ht="14.25" customHeight="1">
      <c r="M45" s="20"/>
    </row>
    <row r="46" ht="14.25" customHeight="1">
      <c r="M46" s="20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57"/>
    <col customWidth="1" min="3" max="26" width="8.71"/>
  </cols>
  <sheetData>
    <row r="1" ht="14.25" customHeight="1">
      <c r="A1" s="5" t="s">
        <v>448</v>
      </c>
      <c r="B1" s="22" t="s">
        <v>476</v>
      </c>
      <c r="C1" s="22" t="s">
        <v>477</v>
      </c>
      <c r="D1" s="22" t="s">
        <v>453</v>
      </c>
      <c r="E1" s="22" t="s">
        <v>478</v>
      </c>
      <c r="F1" s="22" t="s">
        <v>479</v>
      </c>
      <c r="G1" s="25" t="s">
        <v>452</v>
      </c>
    </row>
    <row r="2" ht="14.25" customHeight="1">
      <c r="A2" s="17" t="s">
        <v>456</v>
      </c>
      <c r="B2" s="26">
        <v>45987.0</v>
      </c>
      <c r="C2" s="22" t="s">
        <v>481</v>
      </c>
      <c r="D2" s="22">
        <v>2050.0</v>
      </c>
      <c r="E2" s="22">
        <v>22.0</v>
      </c>
      <c r="F2" s="27">
        <v>45100.0</v>
      </c>
      <c r="G2" s="28" t="str">
        <f t="shared" ref="G2:G9" si="1">LEFT(C2,IF(IFERROR(CODE(MID(C2,1,1)),0)&gt;127,0,IF(IFERROR(CODE(MID(C2,2,1)),0)&gt;127,1,IF(IFERROR(CODE(MID(C2,3,1)),0)&gt;127,2,IF(IFERROR(CODE(MID(C2,4,1)),0)&gt;127,3,IF(IFERROR(CODE(MID(C2,5,1)),0)&gt;127,4,LEN(C2)))))))</f>
        <v>596</v>
      </c>
      <c r="L2" s="22"/>
      <c r="M2" s="29"/>
    </row>
    <row r="3" ht="14.25" customHeight="1">
      <c r="A3" s="17" t="s">
        <v>456</v>
      </c>
      <c r="B3" s="26">
        <v>45987.0</v>
      </c>
      <c r="C3" s="22" t="s">
        <v>161</v>
      </c>
      <c r="D3" s="22">
        <v>499.0</v>
      </c>
      <c r="E3" s="22">
        <v>33.0</v>
      </c>
      <c r="F3" s="27">
        <v>16467.0</v>
      </c>
      <c r="G3" s="28" t="str">
        <f t="shared" si="1"/>
        <v>S537</v>
      </c>
    </row>
    <row r="4" ht="14.25" customHeight="1">
      <c r="A4" s="17" t="s">
        <v>456</v>
      </c>
      <c r="B4" s="26">
        <v>45987.0</v>
      </c>
      <c r="C4" s="22" t="s">
        <v>483</v>
      </c>
      <c r="D4" s="22">
        <v>348.0</v>
      </c>
      <c r="E4" s="22">
        <v>25.0</v>
      </c>
      <c r="F4" s="27">
        <v>8700.0</v>
      </c>
      <c r="G4" s="28" t="str">
        <f t="shared" si="1"/>
        <v>S671</v>
      </c>
    </row>
    <row r="5" ht="14.25" customHeight="1">
      <c r="A5" s="17" t="s">
        <v>456</v>
      </c>
      <c r="B5" s="26">
        <v>45987.0</v>
      </c>
      <c r="C5" s="22" t="s">
        <v>484</v>
      </c>
      <c r="D5" s="22">
        <v>204.0</v>
      </c>
      <c r="E5" s="22">
        <v>32.0</v>
      </c>
      <c r="F5" s="27">
        <v>6528.0</v>
      </c>
      <c r="G5" s="28" t="str">
        <f t="shared" si="1"/>
        <v>S546</v>
      </c>
    </row>
    <row r="6" ht="14.25" customHeight="1">
      <c r="A6" s="17" t="s">
        <v>456</v>
      </c>
      <c r="B6" s="26">
        <v>45987.0</v>
      </c>
      <c r="C6" s="22" t="s">
        <v>178</v>
      </c>
      <c r="D6" s="22">
        <v>169.0</v>
      </c>
      <c r="E6" s="22">
        <v>12.0</v>
      </c>
      <c r="F6" s="27">
        <v>2028.0</v>
      </c>
      <c r="G6" s="28" t="str">
        <f t="shared" si="1"/>
        <v>S539</v>
      </c>
    </row>
    <row r="7" ht="14.25" customHeight="1">
      <c r="A7" s="17" t="s">
        <v>456</v>
      </c>
      <c r="B7" s="26">
        <v>45987.0</v>
      </c>
      <c r="C7" s="22" t="s">
        <v>180</v>
      </c>
      <c r="D7" s="22">
        <v>198.0</v>
      </c>
      <c r="E7" s="22">
        <v>26.0</v>
      </c>
      <c r="F7" s="27">
        <v>5148.0</v>
      </c>
      <c r="G7" s="28" t="str">
        <f t="shared" si="1"/>
        <v>S568</v>
      </c>
    </row>
    <row r="8" ht="14.25" customHeight="1">
      <c r="A8" s="17" t="s">
        <v>456</v>
      </c>
      <c r="B8" s="26">
        <v>45987.0</v>
      </c>
      <c r="C8" s="22" t="s">
        <v>188</v>
      </c>
      <c r="D8" s="22">
        <v>237.0</v>
      </c>
      <c r="E8" s="22">
        <v>22.0</v>
      </c>
      <c r="F8" s="27">
        <v>5214.0</v>
      </c>
      <c r="G8" s="28" t="str">
        <f t="shared" si="1"/>
        <v>S516</v>
      </c>
    </row>
    <row r="9" ht="14.25" customHeight="1">
      <c r="A9" s="17" t="s">
        <v>456</v>
      </c>
      <c r="B9" s="26">
        <v>45987.0</v>
      </c>
      <c r="C9" s="22" t="s">
        <v>191</v>
      </c>
      <c r="D9" s="22">
        <v>137.0</v>
      </c>
      <c r="E9" s="22">
        <v>23.0</v>
      </c>
      <c r="F9" s="27">
        <v>3151.0</v>
      </c>
      <c r="G9" s="28" t="str">
        <f t="shared" si="1"/>
        <v>S533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30" t="s">
        <v>448</v>
      </c>
      <c r="B1" s="31" t="s">
        <v>524</v>
      </c>
      <c r="C1" s="31" t="s">
        <v>528</v>
      </c>
      <c r="D1" s="31" t="s">
        <v>526</v>
      </c>
      <c r="E1" s="31" t="s">
        <v>529</v>
      </c>
      <c r="F1" s="31" t="s">
        <v>530</v>
      </c>
      <c r="G1" s="25" t="s">
        <v>525</v>
      </c>
      <c r="H1" s="25" t="s">
        <v>531</v>
      </c>
      <c r="I1" s="25" t="s">
        <v>532</v>
      </c>
      <c r="J1" s="25" t="s">
        <v>533</v>
      </c>
    </row>
    <row r="2" ht="14.25" customHeight="1">
      <c r="A2" s="17" t="s">
        <v>456</v>
      </c>
      <c r="B2" s="5" t="s">
        <v>160</v>
      </c>
      <c r="C2" s="20">
        <f t="array" ref="C2">IFERROR(
    XLOOKUP(B2, '商品表'!A:A, '商品表'!AN:AN),
    -1
)
</f>
        <v>10</v>
      </c>
      <c r="D2" s="20">
        <f t="array" ref="D2">IFERROR(
    XLOOKUP(B2, '商品表'!A:A, '商品表'!DG:DG),
    -1
)
</f>
        <v>1.2</v>
      </c>
      <c r="E2" s="5"/>
      <c r="F2" s="20">
        <f>IFERROR(
    IF(C2 = -1,
        -1,
        IF(D2 = -1,
            -1,
            SUMIFS('发货明细'!$H:$H, '发货明细 -demo'!$A:$A, A2, '发货明细 -demo'!$L:$L, B2)
        )
    ),
    -1
)
</f>
        <v>53</v>
      </c>
      <c r="G2" s="32">
        <f t="array" ref="G2">IFERROR(
    INDEX('发货明细'!M:M,
          MATCH(1,
                (A2='发货明细 -demo'!A:A) *
                (B2='发货明细 -demo'!L:L),
                0)
    ),
    -1
)
</f>
        <v>33</v>
      </c>
      <c r="H2" s="5" t="str">
        <f t="shared" ref="H2:H4" si="1">IF(C2=-1,"异常","正常")</f>
        <v>正常</v>
      </c>
      <c r="I2" s="5" t="str">
        <f t="shared" ref="I2:I4" si="2">IF(G2=-1,"异常","正常")</f>
        <v>正常</v>
      </c>
      <c r="J2" s="5" t="str">
        <f t="shared" ref="J2:J4" si="3">IF(AND(C2&gt;=G2,H2="正常",I2="正常"),"正常","异常")</f>
        <v>异常</v>
      </c>
    </row>
    <row r="3" ht="14.25" customHeight="1">
      <c r="A3" s="17" t="s">
        <v>456</v>
      </c>
      <c r="B3" s="5" t="s">
        <v>162</v>
      </c>
      <c r="C3" s="20">
        <f t="array" ref="C3">IFERROR(
    XLOOKUP(B3, '商品表'!A:A, '商品表'!AN:AN),
    -1
)
</f>
        <v>11</v>
      </c>
      <c r="D3" s="20">
        <f t="array" ref="D3">IFERROR(
    XLOOKUP(B3, '商品表'!A:A, '商品表'!DG:DG),
    -1
)
</f>
        <v>1.2</v>
      </c>
      <c r="E3" s="5"/>
      <c r="F3" s="20">
        <f>IFERROR(
    IF(C3 = -1,
        -1,
        IF(D3 = -1,
            -1,
            SUMIFS('发货明细'!$H:$H, '发货明细 -demo'!$A:$A, A3, '发货明细 -demo'!$L:$L, B3)
        )
    ),
    -1
)
</f>
        <v>99</v>
      </c>
      <c r="G3" s="32">
        <f t="array" ref="G3">IFERROR(
    INDEX('发货明细'!M:M,
          MATCH(1,
                (A3='发货明细 -demo'!A:A) *
                (B3='发货明细 -demo'!L:L),
                0)
    ),
    -1
)
</f>
        <v>33</v>
      </c>
      <c r="H3" s="5" t="str">
        <f t="shared" si="1"/>
        <v>正常</v>
      </c>
      <c r="I3" s="5" t="str">
        <f t="shared" si="2"/>
        <v>正常</v>
      </c>
      <c r="J3" s="5" t="str">
        <f t="shared" si="3"/>
        <v>异常</v>
      </c>
    </row>
    <row r="4" ht="14.25" customHeight="1">
      <c r="A4" s="17" t="s">
        <v>456</v>
      </c>
      <c r="B4" s="5" t="s">
        <v>163</v>
      </c>
      <c r="C4" s="20">
        <f t="array" ref="C4">IFERROR(
    XLOOKUP(B4, '商品表'!A:A, '商品表'!AN:AN),
    -1
)
</f>
        <v>12</v>
      </c>
      <c r="D4" s="20">
        <f t="array" ref="D4">IFERROR(
    XLOOKUP(B4, '商品表'!A:A, '商品表'!DG:DG),
    -1
)
</f>
        <v>1.2</v>
      </c>
      <c r="E4" s="5"/>
      <c r="F4" s="20">
        <f>IFERROR(
    IF(C4 = -1,
        -1,
        IF(D4 = -1,
            -1,
            SUMIFS('发货明细'!$H:$H, '发货明细 -demo'!$A:$A, A4, '发货明细 -demo'!$L:$L, B4)
        )
    ),
    -1
)
</f>
        <v>68</v>
      </c>
      <c r="G4" s="32">
        <f t="array" ref="G4">IFERROR(
    INDEX('发货明细'!M:M,
          MATCH(1,
                (A4='发货明细 -demo'!A:A) *
                (B4='发货明细 -demo'!L:L),
                0)
    ),
    -1
)
</f>
        <v>33</v>
      </c>
      <c r="H4" s="5" t="str">
        <f t="shared" si="1"/>
        <v>正常</v>
      </c>
      <c r="I4" s="5" t="str">
        <f t="shared" si="2"/>
        <v>正常</v>
      </c>
      <c r="J4" s="5" t="str">
        <f t="shared" si="3"/>
        <v>异常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30" t="s">
        <v>448</v>
      </c>
      <c r="B1" s="31" t="s">
        <v>524</v>
      </c>
      <c r="C1" s="31" t="s">
        <v>528</v>
      </c>
      <c r="D1" s="31" t="s">
        <v>526</v>
      </c>
      <c r="E1" s="31" t="s">
        <v>529</v>
      </c>
      <c r="F1" s="31" t="s">
        <v>530</v>
      </c>
      <c r="G1" s="25" t="s">
        <v>525</v>
      </c>
      <c r="H1" s="25" t="s">
        <v>531</v>
      </c>
      <c r="I1" s="25" t="s">
        <v>532</v>
      </c>
      <c r="J1" s="25" t="s">
        <v>533</v>
      </c>
    </row>
    <row r="2" ht="14.25" customHeight="1">
      <c r="A2" s="17" t="s">
        <v>456</v>
      </c>
      <c r="B2" s="5" t="s">
        <v>160</v>
      </c>
      <c r="C2" s="20">
        <f t="array" ref="C2">IFERROR(
    XLOOKUP(B2, '商品表'!A:A, '商品表'!AN:AN),
    -1
)
</f>
        <v>10</v>
      </c>
      <c r="D2" s="20">
        <f t="array" ref="D2">IFERROR(
    XLOOKUP(B2, '商品表'!A:A, '商品表'!DG:DG),
    -1
)
</f>
        <v>1.2</v>
      </c>
      <c r="E2" s="5"/>
      <c r="F2" s="20">
        <f>IFERROR(__xludf.DUMMYFUNCTION("IF(
    OR(C2=-1, D2=-1),
    -1,
    SUM(
        FILTER('发货明细'!H:H,
            ('发货明细'!A:A = A2) *
            ('发货明细'!L:L = B2)
        )
    )
)
"),53.0)</f>
        <v>53</v>
      </c>
      <c r="G2" s="32">
        <f>IFERROR(__xludf.DUMMYFUNCTION("IFERROR(INDEX(FILTER('发货明细'!$M$2:$M1000, '发货明细'!$A$2:$A1000 = A2, '发货明细'!$L$2:$L1000 = B2),1),-1)"),33.0)</f>
        <v>33</v>
      </c>
      <c r="H2" s="5" t="str">
        <f t="shared" ref="H2:H4" si="1">IF(C2=-1,"异常","正常")</f>
        <v>正常</v>
      </c>
      <c r="I2" s="5" t="str">
        <f t="shared" ref="I2:I4" si="2">IF(G2=-1,"异常","正常")</f>
        <v>正常</v>
      </c>
      <c r="J2" s="5" t="str">
        <f t="shared" ref="J2:J4" si="3">IF(AND(C2&gt;=G2,H2="正常",I2="正常"),"正常","异常")</f>
        <v>异常</v>
      </c>
    </row>
    <row r="3" ht="14.25" customHeight="1">
      <c r="A3" s="17" t="s">
        <v>456</v>
      </c>
      <c r="B3" s="5" t="s">
        <v>162</v>
      </c>
      <c r="C3" s="20">
        <f t="array" ref="C3">IFERROR(
    XLOOKUP(B3, '商品表'!A:A, '商品表'!AN:AN),
    -1
)
</f>
        <v>11</v>
      </c>
      <c r="D3" s="20">
        <f t="array" ref="D3">IFERROR(
    XLOOKUP(B3, '商品表'!A:A, '商品表'!DG:DG),
    -1
)
</f>
        <v>1.2</v>
      </c>
      <c r="E3" s="5"/>
      <c r="F3" s="20">
        <f>IFERROR(__xludf.DUMMYFUNCTION("IF(
    OR(C3=-1, D3=-1),
    -1,
    SUM(
        FILTER('发货明细'!H:H,
            ('发货明细'!A:A = A3) *
            ('发货明细'!L:L = B3)
        )
    )
)
"),99.0)</f>
        <v>99</v>
      </c>
      <c r="G3" s="32">
        <f>IFERROR(__xludf.DUMMYFUNCTION("IFERROR(INDEX(FILTER('发货明细'!$M$2:$M1000, '发货明细'!$A$2:$A1000 = A3, '发货明细'!$L$2:$L1000 = B3),1),-1)"),33.0)</f>
        <v>33</v>
      </c>
      <c r="H3" s="5" t="str">
        <f t="shared" si="1"/>
        <v>正常</v>
      </c>
      <c r="I3" s="5" t="str">
        <f t="shared" si="2"/>
        <v>正常</v>
      </c>
      <c r="J3" s="5" t="str">
        <f t="shared" si="3"/>
        <v>异常</v>
      </c>
    </row>
    <row r="4" ht="14.25" customHeight="1">
      <c r="A4" s="17" t="s">
        <v>456</v>
      </c>
      <c r="B4" s="5" t="s">
        <v>163</v>
      </c>
      <c r="C4" s="20">
        <f t="array" ref="C4">IFERROR(
    XLOOKUP(B4, '商品表'!A:A, '商品表'!AN:AN),
    -1
)
</f>
        <v>12</v>
      </c>
      <c r="D4" s="20">
        <f t="array" ref="D4">IFERROR(
    XLOOKUP(B4, '商品表'!A:A, '商品表'!DG:DG),
    -1
)
</f>
        <v>1.2</v>
      </c>
      <c r="E4" s="5"/>
      <c r="F4" s="20">
        <f>IFERROR(__xludf.DUMMYFUNCTION("IF(
    OR(C4=-1, D4=-1),
    -1,
    SUM(
        FILTER('发货明细'!H:H,
            ('发货明细'!A:A = A4) *
            ('发货明细'!L:L = B4)
        )
    )
)
"),68.0)</f>
        <v>68</v>
      </c>
      <c r="G4" s="32">
        <f>IFERROR(__xludf.DUMMYFUNCTION("IFERROR(INDEX(FILTER('发货明细'!$M$2:$M1000, '发货明细'!$A$2:$A1000 = A4, '发货明细'!$L$2:$L1000 = B4),1),-1)"),33.0)</f>
        <v>33</v>
      </c>
      <c r="H4" s="5" t="str">
        <f t="shared" si="1"/>
        <v>正常</v>
      </c>
      <c r="I4" s="5" t="str">
        <f t="shared" si="2"/>
        <v>正常</v>
      </c>
      <c r="J4" s="5" t="str">
        <f t="shared" si="3"/>
        <v>异常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2025-12-08T07:04:23Z</dcterms:created>
  <dc:creator>ira</dc:creator>
</cp:coreProperties>
</file>