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6060"/>
  </bookViews>
  <sheets>
    <sheet name="FormulaPar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<sst xmlns="http://schemas.openxmlformats.org/spreadsheetml/2006/main" count="26" uniqueCount="24">
  <si>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ID</t>
  </si>
  <si>
    <t>Formula</t>
  </si>
  <si>
    <t>ExpectedAccordingToTests</t>
  </si>
  <si>
    <t>ExcelizeResult</t>
  </si>
  <si>
    <t>ExcelResult</t>
  </si>
  <si>
    <t>1.22950819672131</t>
  </si>
  <si>
    <t>44166</t>
  </si>
  <si>
    <t>44531</t>
  </si>
  <si>
    <t>-4133.02575932334</t>
  </si>
  <si>
    <t>-4148.10291667609</t>
  </si>
  <si>
    <t>1</t>
  </si>
  <si>
    <t>0</t>
  </si>
  <si>
    <t>-26110.005319884</t>
  </si>
  <si>
    <t>1290.32258064516</t>
  </si>
  <si>
    <t>0.000434074877916441</t>
  </si>
  <si>
    <t>0.0975631546829798</t>
  </si>
  <si>
    <t>0.4059136</t>
  </si>
  <si>
    <t>Error strconv.ParseFloat: parsing "": invalid syntax</t>
  </si>
  <si>
    <t>86</t>
  </si>
  <si>
    <t>31489</t>
  </si>
  <si>
    <t>-31307</t>
  </si>
  <si>
    <t>43831</t>
  </si>
  <si>
    <t>172</t>
  </si>
  <si>
    <t>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</si>
</sst>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E28" sqref="E28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e">
        <f>HARMEAN("2.5",3,0.5,1,INT(3),"")</f>
        <v>#VALUE!</v>
      </c>
      <c r="C2" t="s">
        <v>5</v>
      </c>
      <c r="D2" t="e">
        <v>#N/A</v>
      </c>
      <c r="E2" t="e">
        <f>HARMEAN("2.5",3,0.5,1,INT(3),"")</f>
        <v>#VALUE!</v>
      </c>
    </row>
    <row r="3" spans="1:5">
      <c r="A3">
        <v>2</v>
      </c>
      <c r="B3" t="e">
        <f>EDATE("01/01/2021",-1)</f>
        <v>#VALUE!</v>
      </c>
      <c r="C3" t="s">
        <v>6</v>
      </c>
      <c r="D3" t="s">
        <v>7</v>
      </c>
      <c r="E3" t="e">
        <f>EDATE("01/01/2021",-1)</f>
        <v>#VALUE!</v>
      </c>
    </row>
    <row r="4" spans="1:5">
      <c r="A4">
        <v>3</v>
      </c>
      <c r="B4" t="e">
        <f>NPV(0.02,-5000,"",800)</f>
        <v>#VALUE!</v>
      </c>
      <c r="C4" t="s">
        <v>8</v>
      </c>
      <c r="D4" t="s">
        <v>9</v>
      </c>
      <c r="E4" t="e">
        <f>NPV(0.02,-5000,"",800)</f>
        <v>#VALUE!</v>
      </c>
    </row>
    <row r="5" spans="1:5">
      <c r="A5">
        <v>4</v>
      </c>
      <c r="B5" t="e">
        <f>NORMDIST("",0,0,FALSE)</f>
        <v>#VALUE!</v>
      </c>
      <c r="C5" t="e">
        <v>#VALUE!</v>
      </c>
      <c r="D5" t="e">
        <v>#NUM!</v>
      </c>
      <c r="E5" t="e">
        <f>NORMDIST("",0,0,FALSE)</f>
        <v>#VALUE!</v>
      </c>
    </row>
    <row r="6" spans="1:5">
      <c r="A6">
        <v>5</v>
      </c>
      <c r="B6" t="e">
        <f>COUPDAYS("01/01/2011","10/25/2012","")</f>
        <v>#VALUE!</v>
      </c>
      <c r="C6" t="e">
        <v>#VALUE!</v>
      </c>
      <c r="D6" t="e">
        <v>#NUM!</v>
      </c>
      <c r="E6" t="e">
        <f>COUPDAYS("01/01/2011","10/25/2012","")</f>
        <v>#VALUE!</v>
      </c>
    </row>
    <row r="7" spans="1:5">
      <c r="A7">
        <v>6</v>
      </c>
      <c r="B7" t="e">
        <f>_xlfn.BITRSHIFT(1,"")</f>
        <v>#VALUE!</v>
      </c>
      <c r="C7" t="e">
        <v>#NUM!</v>
      </c>
      <c r="D7" t="s">
        <v>10</v>
      </c>
      <c r="E7" t="e">
        <f>_xlfn.BITRSHIFT(1,"")</f>
        <v>#VALUE!</v>
      </c>
    </row>
    <row r="8" spans="1:5">
      <c r="A8">
        <v>7</v>
      </c>
      <c r="B8" t="e">
        <f>HYPGEOM.DIST(1,"",4,12,FALSE)</f>
        <v>#NAME?</v>
      </c>
      <c r="C8" t="e">
        <v>#VALUE!</v>
      </c>
      <c r="D8" t="e">
        <v>#NUM!</v>
      </c>
      <c r="E8" t="e">
        <f>HYPGEOM.DIST(1,"",4,12,FALSE)</f>
        <v>#NAME?</v>
      </c>
    </row>
    <row r="9" spans="1:5">
      <c r="A9">
        <v>8</v>
      </c>
      <c r="B9" t="e">
        <f>ODDFPRICE("02/01/2017","","12/01/2016","03/31/2017",5.5%,3.5%,100,2)</f>
        <v>#VALUE!</v>
      </c>
      <c r="C9" t="e">
        <v>#VALUE!</v>
      </c>
      <c r="D9" t="e">
        <v>#NUM!</v>
      </c>
      <c r="E9" t="e">
        <f>ODDFPRICE("02/01/2017","","12/01/2016","03/31/2017",5.5%,3.5%,100,2)</f>
        <v>#VALUE!</v>
      </c>
    </row>
    <row r="10" spans="1:5">
      <c r="A10">
        <v>9</v>
      </c>
      <c r="B10" t="e">
        <f>YIELDMAT("01/01/2017","06/30/2018","06/01/2014",5,"",0)</f>
        <v>#NAME?</v>
      </c>
      <c r="C10" t="e">
        <v>#VALUE!</v>
      </c>
      <c r="D10" t="e">
        <v>#NUM!</v>
      </c>
      <c r="E10" t="e">
        <f>YIELDMAT("01/01/2017","06/30/2018","06/01/2014",5,"",0)</f>
        <v>#NAME?</v>
      </c>
    </row>
    <row r="11" spans="1:5">
      <c r="A11">
        <v>10</v>
      </c>
      <c r="B11" t="e">
        <f>CONFIDENCE.NORM(0.05,"",100)</f>
        <v>#NAME?</v>
      </c>
      <c r="C11" t="e">
        <v>#VALUE!</v>
      </c>
      <c r="D11" t="e">
        <v>#NUM!</v>
      </c>
      <c r="E11" t="e">
        <f>CONFIDENCE.NORM(0.05,"",100)</f>
        <v>#NAME?</v>
      </c>
    </row>
    <row r="12" spans="1:5">
      <c r="A12">
        <v>11</v>
      </c>
      <c r="B12" t="e">
        <f>INDEX(0,"")</f>
        <v>#VALUE!</v>
      </c>
      <c r="C12" t="e">
        <v>#VALUE!</v>
      </c>
      <c r="D12" t="s">
        <v>11</v>
      </c>
      <c r="E12" t="e">
        <f>INDEX(0,"")</f>
        <v>#VALUE!</v>
      </c>
    </row>
    <row r="13" spans="1:5">
      <c r="A13">
        <v>12</v>
      </c>
      <c r="B13" t="e">
        <f>PV(10%/4,16,2000,0,"")</f>
        <v>#VALUE!</v>
      </c>
      <c r="C13" t="e">
        <v>#VALUE!</v>
      </c>
      <c r="D13" t="s">
        <v>12</v>
      </c>
      <c r="E13" t="e">
        <f>PV(10%/4,16,2000,0,"")</f>
        <v>#VALUE!</v>
      </c>
    </row>
    <row r="14" spans="1:5">
      <c r="A14">
        <v>13</v>
      </c>
      <c r="B14" t="e">
        <f>TINV(0.25,"")</f>
        <v>#VALUE!</v>
      </c>
      <c r="C14" t="e">
        <v>#VALUE!</v>
      </c>
      <c r="D14" t="e">
        <v>#NUM!</v>
      </c>
      <c r="E14" t="e">
        <f>TINV(0.25,"")</f>
        <v>#VALUE!</v>
      </c>
    </row>
    <row r="15" spans="1:5">
      <c r="A15">
        <v>14</v>
      </c>
      <c r="B15" t="e">
        <f>RECEIVED("04/01/2011","03/31/2016",1000,4.5%,"")</f>
        <v>#NAME?</v>
      </c>
      <c r="C15" t="e">
        <v>#NUM!</v>
      </c>
      <c r="D15" t="s">
        <v>13</v>
      </c>
      <c r="E15" t="e">
        <f>RECEIVED("04/01/2011","03/31/2016",1000,4.5%,"")</f>
        <v>#NAME?</v>
      </c>
    </row>
    <row r="16" spans="1:5">
      <c r="A16">
        <v>15</v>
      </c>
      <c r="B16" t="e">
        <f>INTRATE("","03/31/2021",95,100)</f>
        <v>#NAME?</v>
      </c>
      <c r="C16" t="e">
        <v>#VALUE!</v>
      </c>
      <c r="D16" t="s">
        <v>14</v>
      </c>
      <c r="E16" t="e">
        <f>INTRATE("","03/31/2021",95,100)</f>
        <v>#NAME?</v>
      </c>
    </row>
    <row r="17" spans="1:5">
      <c r="A17">
        <v>16</v>
      </c>
      <c r="B17" t="e">
        <f>PPMT(0,"",0,0,0,0)</f>
        <v>#VALUE!</v>
      </c>
      <c r="C17" t="e">
        <v>#VALUE!</v>
      </c>
      <c r="D17" t="e">
        <v>#N/A</v>
      </c>
      <c r="E17" t="e">
        <f>PPMT(0,"",0,0,0,0)</f>
        <v>#VALUE!</v>
      </c>
    </row>
    <row r="18" spans="1:5">
      <c r="A18">
        <v>17</v>
      </c>
      <c r="B18" t="e">
        <f>YIELD("01/01/2010","06/30/2015",10%,101,100,4,"")</f>
        <v>#VALUE!</v>
      </c>
      <c r="C18" t="e">
        <v>#NUM!</v>
      </c>
      <c r="D18" t="s">
        <v>15</v>
      </c>
      <c r="E18" t="e">
        <f>YIELD("01/01/2010","06/30/2015",10%,101,100,4,"")</f>
        <v>#VALUE!</v>
      </c>
    </row>
    <row r="19" spans="1:5">
      <c r="A19">
        <v>18</v>
      </c>
      <c r="B19" t="e">
        <f>CHIINV(0.5,"")</f>
        <v>#VALUE!</v>
      </c>
      <c r="C19" t="e">
        <v>#VALUE!</v>
      </c>
      <c r="D19" t="e">
        <v>#NUM!</v>
      </c>
      <c r="E19" t="e">
        <f>CHIINV(0.5,"")</f>
        <v>#VALUE!</v>
      </c>
    </row>
    <row r="20" spans="1:5">
      <c r="A20">
        <v>19</v>
      </c>
      <c r="B20" t="e">
        <f>BETA.DIST(0.4,4,5,TRUE,"",1)</f>
        <v>#NAME?</v>
      </c>
      <c r="C20" t="e">
        <v>#VALUE!</v>
      </c>
      <c r="D20" t="s">
        <v>16</v>
      </c>
      <c r="E20" t="e">
        <f>BETA.DIST(0.4,4,5,TRUE,"",1)</f>
        <v>#NAME?</v>
      </c>
    </row>
    <row r="21" spans="1:5">
      <c r="A21">
        <v>20</v>
      </c>
      <c r="B21" t="e">
        <f>_xlfn.TEXTAFTER("Red riding hoods, red hood","hood","")</f>
        <v>#VALUE!</v>
      </c>
      <c r="C21" t="s">
        <v>17</v>
      </c>
      <c r="D21" t="e">
        <v>#VALUE!</v>
      </c>
      <c r="E21" t="e">
        <f>_xlfn.TEXTAFTER("Red riding hoods, red hood","hood","")</f>
        <v>#VALUE!</v>
      </c>
    </row>
    <row r="22" spans="1:5">
      <c r="A22">
        <v>21</v>
      </c>
      <c r="B22" t="e">
        <f>IRR(0,"")</f>
        <v>#VALUE!</v>
      </c>
      <c r="C22" t="e">
        <v>#VALUE!</v>
      </c>
      <c r="D22" t="s">
        <v>11</v>
      </c>
      <c r="E22" t="e">
        <f>IRR(0,"")</f>
        <v>#VALUE!</v>
      </c>
    </row>
    <row r="23" spans="1:5">
      <c r="A23">
        <v>22</v>
      </c>
      <c r="B23" t="e">
        <f>_xlfn.NETWORKDAYS.INTL("",123,4,B1:B12)</f>
        <v>#VALUE!</v>
      </c>
      <c r="C23" t="e">
        <v>#VALUE!</v>
      </c>
      <c r="D23" t="s">
        <v>18</v>
      </c>
      <c r="E23" t="e">
        <f>_xlfn.NETWORKDAYS.INTL("",123,4,E1:E12)</f>
        <v>#VALUE!</v>
      </c>
    </row>
    <row r="24" spans="1:5">
      <c r="A24">
        <v>23</v>
      </c>
      <c r="B24" t="e">
        <f>NETWORKDAYS("","09/12/2020",2)</f>
        <v>#VALUE!</v>
      </c>
      <c r="C24" t="e">
        <v>#VALUE!</v>
      </c>
      <c r="D24" t="s">
        <v>19</v>
      </c>
      <c r="E24" t="e">
        <f>NETWORKDAYS("","09/12/2020",2)</f>
        <v>#VALUE!</v>
      </c>
    </row>
    <row r="25" spans="1:5">
      <c r="A25">
        <v>24</v>
      </c>
      <c r="B25" t="e">
        <f>NETWORKDAYS("01/01/2020","",2)</f>
        <v>#VALUE!</v>
      </c>
      <c r="C25" t="e">
        <v>#VALUE!</v>
      </c>
      <c r="D25" t="s">
        <v>20</v>
      </c>
      <c r="E25" t="e">
        <f>NETWORKDAYS("01/01/2020","",2)</f>
        <v>#VALUE!</v>
      </c>
    </row>
    <row r="26" spans="1:5">
      <c r="A26">
        <v>25</v>
      </c>
      <c r="B26" t="e">
        <f>WORKDAY("01/01/2020","",B1:B12)</f>
        <v>#VALUE!</v>
      </c>
      <c r="C26" t="e">
        <v>#VALUE!</v>
      </c>
      <c r="D26" t="s">
        <v>21</v>
      </c>
      <c r="E26" t="e">
        <f>WORKDAY("01/01/2020","",E1:E12)</f>
        <v>#VALUE!</v>
      </c>
    </row>
    <row r="27" spans="1:5">
      <c r="A27">
        <v>26</v>
      </c>
      <c r="B27" t="e">
        <f>_xlfn.WORKDAY.INTL("01/01/2020","",4,B1:B12)</f>
        <v>#VALUE!</v>
      </c>
      <c r="C27" t="e">
        <v>#VALUE!</v>
      </c>
      <c r="D27" t="s">
        <v>21</v>
      </c>
      <c r="E27" t="e">
        <f>_xlfn.WORKDAY.INTL("01/01/2020","",4,E1:E12)</f>
        <v>#VALUE!</v>
      </c>
    </row>
    <row r="28" spans="1:5">
      <c r="A28">
        <v>27</v>
      </c>
      <c r="B28" t="e">
        <f>WORKDAY("",123,B1:B12)</f>
        <v>#VALUE!</v>
      </c>
      <c r="C28" t="e">
        <v>#VALUE!</v>
      </c>
      <c r="D28" t="s">
        <v>22</v>
      </c>
      <c r="E28" t="e">
        <f>WORKDAY("",123,E1:E12)</f>
        <v>#VALUE!</v>
      </c>
    </row>
    <row r="29" spans="1:5">
      <c r="A29">
        <v>28</v>
      </c>
      <c r="B29" t="e">
        <f>_xlfn.WORKDAY.INTL("",123,4,B1:B12)</f>
        <v>#VALUE!</v>
      </c>
      <c r="C29" t="e">
        <v>#VALUE!</v>
      </c>
      <c r="D29" t="s">
        <v>23</v>
      </c>
      <c r="E29" t="e">
        <f>_xlfn.WORKDAY.INTL("",123,4,E1:E12)</f>
        <v>#VALUE!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FormulaParity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秒应</cp:lastModifiedBy>
  <dcterms:created xsi:type="dcterms:W3CDTF">2026-01-09T14:29:00Z</dcterms:created>
  <dcterms:modified xsi:type="dcterms:W3CDTF">2026-01-09T14:32:50Z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616E8AC6B87D46FE11A16069B5C560BB_42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