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ales" sheetId="1" r:id="rId1"/>
    <sheet name="Inventory" sheetId="2" r:id="rId5"/>
    <sheet name="Finance" sheetId="3" r:id="rId6"/>
    <sheet name="Attendance" sheetId="4" r:id="rId7"/>
    <sheet name="Projects" sheetId="5" r:id="rId8"/>
  </sheets>
  <calcPr calcId="122211"/>
</workbook>
</file>

<file path=xl/sharedStrings.xml><?xml version="1.0" encoding="utf-8"?>
<sst xmlns="http://schemas.openxmlformats.org/spreadsheetml/2006/main" count="141" uniqueCount="141">
  <si>
    <t>日期</t>
  </si>
  <si>
    <t>收入</t>
  </si>
  <si>
    <t>支出</t>
  </si>
  <si>
    <t>结余</t>
  </si>
  <si>
    <t>累计</t>
  </si>
  <si>
    <t>总计</t>
  </si>
  <si>
    <t>产品</t>
  </si>
  <si>
    <t>期初</t>
  </si>
  <si>
    <t>入库</t>
  </si>
  <si>
    <t>出库</t>
  </si>
  <si>
    <t>期末</t>
  </si>
  <si>
    <t>状态</t>
  </si>
  <si>
    <t>安全库存</t>
  </si>
  <si>
    <t>产品01</t>
  </si>
  <si>
    <t>产品02</t>
  </si>
  <si>
    <t>产品03</t>
  </si>
  <si>
    <t>产品04</t>
  </si>
  <si>
    <t>产品05</t>
  </si>
  <si>
    <t>产品06</t>
  </si>
  <si>
    <t>产品07</t>
  </si>
  <si>
    <t>产品08</t>
  </si>
  <si>
    <t>产品09</t>
  </si>
  <si>
    <t>产品10</t>
  </si>
  <si>
    <t>产品11</t>
  </si>
  <si>
    <t>产品12</t>
  </si>
  <si>
    <t>产品13</t>
  </si>
  <si>
    <t>产品14</t>
  </si>
  <si>
    <t>产品15</t>
  </si>
  <si>
    <t>产品16</t>
  </si>
  <si>
    <t>产品17</t>
  </si>
  <si>
    <t>产品18</t>
  </si>
  <si>
    <t>产品19</t>
  </si>
  <si>
    <t>产品20</t>
  </si>
  <si>
    <t>产品21</t>
  </si>
  <si>
    <t>产品22</t>
  </si>
  <si>
    <t>产品23</t>
  </si>
  <si>
    <t>产品24</t>
  </si>
  <si>
    <t>产品25</t>
  </si>
  <si>
    <t>产品26</t>
  </si>
  <si>
    <t>产品27</t>
  </si>
  <si>
    <t>产品28</t>
  </si>
  <si>
    <t>产品29</t>
  </si>
  <si>
    <t>产品30</t>
  </si>
  <si>
    <t>产品31</t>
  </si>
  <si>
    <t>产品32</t>
  </si>
  <si>
    <t>产品33</t>
  </si>
  <si>
    <t>产品34</t>
  </si>
  <si>
    <t>产品35</t>
  </si>
  <si>
    <t>产品36</t>
  </si>
  <si>
    <t>产品37</t>
  </si>
  <si>
    <t>产品38</t>
  </si>
  <si>
    <t>产品39</t>
  </si>
  <si>
    <t>产品40</t>
  </si>
  <si>
    <t>产品41</t>
  </si>
  <si>
    <t>产品42</t>
  </si>
  <si>
    <t>产品43</t>
  </si>
  <si>
    <t>产品44</t>
  </si>
  <si>
    <t>产品45</t>
  </si>
  <si>
    <t>产品46</t>
  </si>
  <si>
    <t>产品47</t>
  </si>
  <si>
    <t>产品48</t>
  </si>
  <si>
    <t>产品49</t>
  </si>
  <si>
    <t>产品50</t>
  </si>
  <si>
    <t>净额</t>
  </si>
  <si>
    <t>月份</t>
  </si>
  <si>
    <t>姓名</t>
  </si>
  <si>
    <t>1日</t>
  </si>
  <si>
    <t>2日</t>
  </si>
  <si>
    <t>3日</t>
  </si>
  <si>
    <t>4日</t>
  </si>
  <si>
    <t>5日</t>
  </si>
  <si>
    <t>6日</t>
  </si>
  <si>
    <t>7日</t>
  </si>
  <si>
    <t>8日</t>
  </si>
  <si>
    <t>9日</t>
  </si>
  <si>
    <t>10日</t>
  </si>
  <si>
    <t>11日</t>
  </si>
  <si>
    <t>12日</t>
  </si>
  <si>
    <t>13日</t>
  </si>
  <si>
    <t>14日</t>
  </si>
  <si>
    <t>15日</t>
  </si>
  <si>
    <t>16日</t>
  </si>
  <si>
    <t>17日</t>
  </si>
  <si>
    <t>18日</t>
  </si>
  <si>
    <t>19日</t>
  </si>
  <si>
    <t>20日</t>
  </si>
  <si>
    <t>21日</t>
  </si>
  <si>
    <t>22日</t>
  </si>
  <si>
    <t>23日</t>
  </si>
  <si>
    <t>24日</t>
  </si>
  <si>
    <t>25日</t>
  </si>
  <si>
    <t>26日</t>
  </si>
  <si>
    <t>27日</t>
  </si>
  <si>
    <t>28日</t>
  </si>
  <si>
    <t>29日</t>
  </si>
  <si>
    <t>30日</t>
  </si>
  <si>
    <t>31日</t>
  </si>
  <si>
    <t>出勤天数</t>
  </si>
  <si>
    <t>全勤奖</t>
  </si>
  <si>
    <t>成员01</t>
  </si>
  <si>
    <t>×</t>
  </si>
  <si>
    <t>√</t>
  </si>
  <si>
    <t>成员02</t>
  </si>
  <si>
    <t>成员03</t>
  </si>
  <si>
    <t>成员04</t>
  </si>
  <si>
    <t>成员05</t>
  </si>
  <si>
    <t>成员06</t>
  </si>
  <si>
    <t>成员07</t>
  </si>
  <si>
    <t>成员08</t>
  </si>
  <si>
    <t>成员09</t>
  </si>
  <si>
    <t>成员10</t>
  </si>
  <si>
    <t>成员11</t>
  </si>
  <si>
    <t>成员12</t>
  </si>
  <si>
    <t>成员13</t>
  </si>
  <si>
    <t>成员14</t>
  </si>
  <si>
    <t>成员15</t>
  </si>
  <si>
    <t>成员16</t>
  </si>
  <si>
    <t>成员17</t>
  </si>
  <si>
    <t>成员18</t>
  </si>
  <si>
    <t>成员19</t>
  </si>
  <si>
    <t>成员20</t>
  </si>
  <si>
    <t>任务</t>
  </si>
  <si>
    <t>开始日期</t>
  </si>
  <si>
    <t>结束日期</t>
  </si>
  <si>
    <t>工期</t>
  </si>
  <si>
    <t>进度</t>
  </si>
  <si>
    <t>任务01</t>
  </si>
  <si>
    <t>任务02</t>
  </si>
  <si>
    <t>任务03</t>
  </si>
  <si>
    <t>任务04</t>
  </si>
  <si>
    <t>任务05</t>
  </si>
  <si>
    <t>任务06</t>
  </si>
  <si>
    <t>任务07</t>
  </si>
  <si>
    <t>任务08</t>
  </si>
  <si>
    <t>任务09</t>
  </si>
  <si>
    <t>任务10</t>
  </si>
  <si>
    <t>任务11</t>
  </si>
  <si>
    <t>任务12</t>
  </si>
  <si>
    <t>任务13</t>
  </si>
  <si>
    <t>任务14</t>
  </si>
  <si>
    <t>任务15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</si>
</sst>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7" fontId="0" fillId="0" borderId="0" xfId="0" applyNumberFormat="true" applyAlignment="false">
      <alignment/>
    </xf>
    <xf numFmtId="1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s="1">
        <v>45292</v>
      </c>
      <c r="B2">
        <v>4000</v>
      </c>
      <c r="C2">
        <v>2000</v>
      </c>
      <c r="D2">
        <f>=B2-C2</f>
      </c>
      <c r="E2">
        <f>=D2</f>
      </c>
    </row>
    <row r="3">
      <c r="A3" s="2">
        <v>45293</v>
      </c>
      <c r="B3">
        <v>4150</v>
      </c>
      <c r="C3">
        <v>2120</v>
      </c>
      <c r="D3">
        <f>=B3-C3</f>
      </c>
      <c r="E3">
        <f>=E2+D3</f>
      </c>
    </row>
    <row r="4">
      <c r="A4" s="2">
        <v>45294</v>
      </c>
      <c r="B4">
        <v>4300</v>
      </c>
      <c r="C4">
        <v>2240</v>
      </c>
      <c r="D4">
        <f>=B4-C4</f>
      </c>
      <c r="E4">
        <f>=E3+D4</f>
      </c>
    </row>
    <row r="5">
      <c r="A5" s="2">
        <v>45295</v>
      </c>
      <c r="B5">
        <v>4450</v>
      </c>
      <c r="C5">
        <v>2360</v>
      </c>
      <c r="D5">
        <f>=B5-C5</f>
      </c>
      <c r="E5">
        <f>=E4+D5</f>
      </c>
    </row>
    <row r="6">
      <c r="A6" s="2">
        <v>45296</v>
      </c>
      <c r="B6">
        <v>4600</v>
      </c>
      <c r="C6">
        <v>2480</v>
      </c>
      <c r="D6">
        <f>=B6-C6</f>
      </c>
      <c r="E6">
        <f>=E5+D6</f>
      </c>
    </row>
    <row r="7">
      <c r="A7" s="2">
        <v>45297</v>
      </c>
      <c r="B7">
        <v>4750</v>
      </c>
      <c r="C7">
        <v>2600</v>
      </c>
      <c r="D7">
        <f>=B7-C7</f>
      </c>
      <c r="E7">
        <f>=E6+D7</f>
      </c>
    </row>
    <row r="8">
      <c r="A8" s="2">
        <v>45298</v>
      </c>
      <c r="B8">
        <v>4900</v>
      </c>
      <c r="C8">
        <v>2720</v>
      </c>
      <c r="D8">
        <f>=B8-C8</f>
      </c>
      <c r="E8">
        <f>=E7+D8</f>
      </c>
    </row>
    <row r="9">
      <c r="A9" s="2">
        <v>45299</v>
      </c>
      <c r="B9">
        <v>5050</v>
      </c>
      <c r="C9">
        <v>2840</v>
      </c>
      <c r="D9">
        <f>=B9-C9</f>
      </c>
      <c r="E9">
        <f>=E8+D9</f>
      </c>
    </row>
    <row r="10">
      <c r="A10" s="2">
        <v>45300</v>
      </c>
      <c r="B10">
        <v>5200</v>
      </c>
      <c r="C10">
        <v>2000</v>
      </c>
      <c r="D10">
        <f>=B10-C10</f>
      </c>
      <c r="E10">
        <f>=E9+D10</f>
      </c>
    </row>
    <row r="11">
      <c r="A11" s="2">
        <v>45301</v>
      </c>
      <c r="B11">
        <v>5350</v>
      </c>
      <c r="C11">
        <v>2120</v>
      </c>
      <c r="D11">
        <f>=B11-C11</f>
      </c>
      <c r="E11">
        <f>=E10+D11</f>
      </c>
    </row>
    <row r="12">
      <c r="A12" s="2">
        <v>45302</v>
      </c>
      <c r="B12">
        <v>5500</v>
      </c>
      <c r="C12">
        <v>2240</v>
      </c>
      <c r="D12">
        <f>=B12-C12</f>
      </c>
      <c r="E12">
        <f>=E11+D12</f>
      </c>
    </row>
    <row r="13">
      <c r="A13" s="2">
        <v>45303</v>
      </c>
      <c r="B13">
        <v>5650</v>
      </c>
      <c r="C13">
        <v>2360</v>
      </c>
      <c r="D13">
        <f>=B13-C13</f>
      </c>
      <c r="E13">
        <f>=E12+D13</f>
      </c>
    </row>
    <row r="14">
      <c r="A14" s="2">
        <v>45304</v>
      </c>
      <c r="B14">
        <v>4000</v>
      </c>
      <c r="C14">
        <v>2480</v>
      </c>
      <c r="D14">
        <f>=B14-C14</f>
      </c>
      <c r="E14">
        <f>=E13+D14</f>
      </c>
    </row>
    <row r="15">
      <c r="A15" s="2">
        <v>45305</v>
      </c>
      <c r="B15">
        <v>4150</v>
      </c>
      <c r="C15">
        <v>2600</v>
      </c>
      <c r="D15">
        <f>=B15-C15</f>
      </c>
      <c r="E15">
        <f>=E14+D15</f>
      </c>
    </row>
    <row r="16">
      <c r="A16" s="2">
        <v>45306</v>
      </c>
      <c r="B16">
        <v>4300</v>
      </c>
      <c r="C16">
        <v>2720</v>
      </c>
      <c r="D16">
        <f>=B16-C16</f>
      </c>
      <c r="E16">
        <f>=E15+D16</f>
      </c>
    </row>
    <row r="17">
      <c r="A17" s="2">
        <v>45307</v>
      </c>
      <c r="B17">
        <v>4450</v>
      </c>
      <c r="C17">
        <v>2840</v>
      </c>
      <c r="D17">
        <f>=B17-C17</f>
      </c>
      <c r="E17">
        <f>=E16+D17</f>
      </c>
    </row>
    <row r="18">
      <c r="A18" s="2">
        <v>45308</v>
      </c>
      <c r="B18">
        <v>4600</v>
      </c>
      <c r="C18">
        <v>2000</v>
      </c>
      <c r="D18">
        <f>=B18-C18</f>
      </c>
      <c r="E18">
        <f>=E17+D18</f>
      </c>
    </row>
    <row r="19">
      <c r="A19" s="2">
        <v>45309</v>
      </c>
      <c r="B19">
        <v>4750</v>
      </c>
      <c r="C19">
        <v>2120</v>
      </c>
      <c r="D19">
        <f>=B19-C19</f>
      </c>
      <c r="E19">
        <f>=E18+D19</f>
      </c>
    </row>
    <row r="20">
      <c r="A20" s="2">
        <v>45310</v>
      </c>
      <c r="B20">
        <v>4900</v>
      </c>
      <c r="C20">
        <v>2240</v>
      </c>
      <c r="D20">
        <f>=B20-C20</f>
      </c>
      <c r="E20">
        <f>=E19+D20</f>
      </c>
    </row>
    <row r="21">
      <c r="A21" s="2">
        <v>45311</v>
      </c>
      <c r="B21">
        <v>5050</v>
      </c>
      <c r="C21">
        <v>2360</v>
      </c>
      <c r="D21">
        <f>=B21-C21</f>
      </c>
      <c r="E21">
        <f>=E20+D21</f>
      </c>
    </row>
    <row r="22">
      <c r="A22" s="2">
        <v>45312</v>
      </c>
      <c r="B22">
        <v>5200</v>
      </c>
      <c r="C22">
        <v>2480</v>
      </c>
      <c r="D22">
        <f>=B22-C22</f>
      </c>
      <c r="E22">
        <f>=E21+D22</f>
      </c>
    </row>
    <row r="23">
      <c r="A23" s="2">
        <v>45313</v>
      </c>
      <c r="B23">
        <v>5350</v>
      </c>
      <c r="C23">
        <v>2600</v>
      </c>
      <c r="D23">
        <f>=B23-C23</f>
      </c>
      <c r="E23">
        <f>=E22+D23</f>
      </c>
    </row>
    <row r="24">
      <c r="A24" s="2">
        <v>45314</v>
      </c>
      <c r="B24">
        <v>5500</v>
      </c>
      <c r="C24">
        <v>2720</v>
      </c>
      <c r="D24">
        <f>=B24-C24</f>
      </c>
      <c r="E24">
        <f>=E23+D24</f>
      </c>
    </row>
    <row r="25">
      <c r="A25" s="2">
        <v>45315</v>
      </c>
      <c r="B25">
        <v>5650</v>
      </c>
      <c r="C25">
        <v>2840</v>
      </c>
      <c r="D25">
        <f>=B25-C25</f>
      </c>
      <c r="E25">
        <f>=E24+D25</f>
      </c>
    </row>
    <row r="26">
      <c r="A26" s="2">
        <v>45316</v>
      </c>
      <c r="B26">
        <v>4000</v>
      </c>
      <c r="C26">
        <v>2000</v>
      </c>
      <c r="D26">
        <f>=B26-C26</f>
      </c>
      <c r="E26">
        <f>=E25+D26</f>
      </c>
    </row>
    <row r="27">
      <c r="A27" s="2">
        <v>45317</v>
      </c>
      <c r="B27">
        <v>4150</v>
      </c>
      <c r="C27">
        <v>2120</v>
      </c>
      <c r="D27">
        <f>=B27-C27</f>
      </c>
      <c r="E27">
        <f>=E26+D27</f>
      </c>
    </row>
    <row r="28">
      <c r="A28" s="2">
        <v>45318</v>
      </c>
      <c r="B28">
        <v>4300</v>
      </c>
      <c r="C28">
        <v>2240</v>
      </c>
      <c r="D28">
        <f>=B28-C28</f>
      </c>
      <c r="E28">
        <f>=E27+D28</f>
      </c>
    </row>
    <row r="29">
      <c r="A29" s="2">
        <v>45319</v>
      </c>
      <c r="B29">
        <v>4450</v>
      </c>
      <c r="C29">
        <v>2360</v>
      </c>
      <c r="D29">
        <f>=B29-C29</f>
      </c>
      <c r="E29">
        <f>=E28+D29</f>
      </c>
    </row>
    <row r="30">
      <c r="A30" s="2">
        <v>45320</v>
      </c>
      <c r="B30">
        <v>4600</v>
      </c>
      <c r="C30">
        <v>2480</v>
      </c>
      <c r="D30">
        <f>=B30-C30</f>
      </c>
      <c r="E30">
        <f>=E29+D30</f>
      </c>
    </row>
    <row r="31">
      <c r="A31" s="2">
        <v>45321</v>
      </c>
      <c r="B31">
        <v>4750</v>
      </c>
      <c r="C31">
        <v>2600</v>
      </c>
      <c r="D31">
        <f>=B31-C31</f>
      </c>
      <c r="E31">
        <f>=E30+D31</f>
      </c>
    </row>
    <row r="32">
      <c r="A32" s="2">
        <v>45322</v>
      </c>
      <c r="B32">
        <v>4900</v>
      </c>
      <c r="C32">
        <v>2720</v>
      </c>
      <c r="D32">
        <f>=B32-C32</f>
      </c>
      <c r="E32">
        <f>=E31+D32</f>
      </c>
    </row>
    <row r="33">
      <c r="A33" s="1">
        <v>45323</v>
      </c>
      <c r="B33">
        <v>5050</v>
      </c>
      <c r="C33">
        <v>2840</v>
      </c>
      <c r="D33">
        <f>=B33-C33</f>
      </c>
      <c r="E33">
        <f>=E32+D33</f>
      </c>
    </row>
    <row r="34">
      <c r="A34" s="2">
        <v>45324</v>
      </c>
      <c r="B34">
        <v>5200</v>
      </c>
      <c r="C34">
        <v>2000</v>
      </c>
      <c r="D34">
        <f>=B34-C34</f>
      </c>
      <c r="E34">
        <f>=E33+D34</f>
      </c>
    </row>
    <row r="35">
      <c r="A35" s="2">
        <v>45325</v>
      </c>
      <c r="B35">
        <v>5350</v>
      </c>
      <c r="C35">
        <v>2120</v>
      </c>
      <c r="D35">
        <f>=B35-C35</f>
      </c>
      <c r="E35">
        <f>=E34+D35</f>
      </c>
    </row>
    <row r="36">
      <c r="A36" s="2">
        <v>45326</v>
      </c>
      <c r="B36">
        <v>5500</v>
      </c>
      <c r="C36">
        <v>2240</v>
      </c>
      <c r="D36">
        <f>=B36-C36</f>
      </c>
      <c r="E36">
        <f>=E35+D36</f>
      </c>
    </row>
    <row r="37">
      <c r="A37" s="2">
        <v>45327</v>
      </c>
      <c r="B37">
        <v>5650</v>
      </c>
      <c r="C37">
        <v>2360</v>
      </c>
      <c r="D37">
        <f>=B37-C37</f>
      </c>
      <c r="E37">
        <f>=E36+D37</f>
      </c>
    </row>
    <row r="38">
      <c r="A38" s="2">
        <v>45328</v>
      </c>
      <c r="B38">
        <v>4000</v>
      </c>
      <c r="C38">
        <v>2480</v>
      </c>
      <c r="D38">
        <f>=B38-C38</f>
      </c>
      <c r="E38">
        <f>=E37+D38</f>
      </c>
    </row>
    <row r="39">
      <c r="A39" s="2">
        <v>45329</v>
      </c>
      <c r="B39">
        <v>4150</v>
      </c>
      <c r="C39">
        <v>2600</v>
      </c>
      <c r="D39">
        <f>=B39-C39</f>
      </c>
      <c r="E39">
        <f>=E38+D39</f>
      </c>
    </row>
    <row r="40">
      <c r="A40" s="2">
        <v>45330</v>
      </c>
      <c r="B40">
        <v>4300</v>
      </c>
      <c r="C40">
        <v>2720</v>
      </c>
      <c r="D40">
        <f>=B40-C40</f>
      </c>
      <c r="E40">
        <f>=E39+D40</f>
      </c>
    </row>
    <row r="41">
      <c r="A41" s="2">
        <v>45331</v>
      </c>
      <c r="B41">
        <v>4450</v>
      </c>
      <c r="C41">
        <v>2840</v>
      </c>
      <c r="D41">
        <f>=B41-C41</f>
      </c>
      <c r="E41">
        <f>=E40+D41</f>
      </c>
    </row>
    <row r="42">
      <c r="A42" s="2">
        <v>45332</v>
      </c>
      <c r="B42">
        <v>4600</v>
      </c>
      <c r="C42">
        <v>2000</v>
      </c>
      <c r="D42">
        <f>=B42-C42</f>
      </c>
      <c r="E42">
        <f>=E41+D42</f>
      </c>
    </row>
    <row r="43">
      <c r="A43" s="2">
        <v>45333</v>
      </c>
      <c r="B43">
        <v>4750</v>
      </c>
      <c r="C43">
        <v>2120</v>
      </c>
      <c r="D43">
        <f>=B43-C43</f>
      </c>
      <c r="E43">
        <f>=E42+D43</f>
      </c>
    </row>
    <row r="44">
      <c r="A44" s="2">
        <v>45334</v>
      </c>
      <c r="B44">
        <v>4900</v>
      </c>
      <c r="C44">
        <v>2240</v>
      </c>
      <c r="D44">
        <f>=B44-C44</f>
      </c>
      <c r="E44">
        <f>=E43+D44</f>
      </c>
    </row>
    <row r="45">
      <c r="A45" s="2">
        <v>45335</v>
      </c>
      <c r="B45">
        <v>5050</v>
      </c>
      <c r="C45">
        <v>2360</v>
      </c>
      <c r="D45">
        <f>=B45-C45</f>
      </c>
      <c r="E45">
        <f>=E44+D45</f>
      </c>
    </row>
    <row r="46">
      <c r="A46" s="2">
        <v>45336</v>
      </c>
      <c r="B46">
        <v>5200</v>
      </c>
      <c r="C46">
        <v>2480</v>
      </c>
      <c r="D46">
        <f>=B46-C46</f>
      </c>
      <c r="E46">
        <f>=E45+D46</f>
      </c>
    </row>
    <row r="47">
      <c r="A47" s="2">
        <v>45337</v>
      </c>
      <c r="B47">
        <v>5350</v>
      </c>
      <c r="C47">
        <v>2600</v>
      </c>
      <c r="D47">
        <f>=B47-C47</f>
      </c>
      <c r="E47">
        <f>=E46+D47</f>
      </c>
    </row>
    <row r="48">
      <c r="A48" s="2">
        <v>45338</v>
      </c>
      <c r="B48">
        <v>5500</v>
      </c>
      <c r="C48">
        <v>2720</v>
      </c>
      <c r="D48">
        <f>=B48-C48</f>
      </c>
      <c r="E48">
        <f>=E47+D48</f>
      </c>
    </row>
    <row r="49">
      <c r="A49" s="2">
        <v>45339</v>
      </c>
      <c r="B49">
        <v>5650</v>
      </c>
      <c r="C49">
        <v>2840</v>
      </c>
      <c r="D49">
        <f>=B49-C49</f>
      </c>
      <c r="E49">
        <f>=E48+D49</f>
      </c>
    </row>
    <row r="50">
      <c r="A50" s="2">
        <v>45340</v>
      </c>
      <c r="B50">
        <v>4000</v>
      </c>
      <c r="C50">
        <v>2000</v>
      </c>
      <c r="D50">
        <f>=B50-C50</f>
      </c>
      <c r="E50">
        <f>=E49+D50</f>
      </c>
    </row>
    <row r="51">
      <c r="A51" s="2">
        <v>45341</v>
      </c>
      <c r="B51">
        <v>4150</v>
      </c>
      <c r="C51">
        <v>2120</v>
      </c>
      <c r="D51">
        <f>=B51-C51</f>
      </c>
      <c r="E51">
        <f>=E50+D51</f>
      </c>
    </row>
    <row r="52">
      <c r="A52" s="2">
        <v>45342</v>
      </c>
      <c r="B52">
        <v>4300</v>
      </c>
      <c r="C52">
        <v>2240</v>
      </c>
      <c r="D52">
        <f>=B52-C52</f>
      </c>
      <c r="E52">
        <f>=E51+D52</f>
      </c>
    </row>
    <row r="53">
      <c r="A53" s="2">
        <v>45343</v>
      </c>
      <c r="B53">
        <v>4450</v>
      </c>
      <c r="C53">
        <v>2360</v>
      </c>
      <c r="D53">
        <f>=B53-C53</f>
      </c>
      <c r="E53">
        <f>=E52+D53</f>
      </c>
    </row>
    <row r="54">
      <c r="A54" s="2">
        <v>45344</v>
      </c>
      <c r="B54">
        <v>4600</v>
      </c>
      <c r="C54">
        <v>2480</v>
      </c>
      <c r="D54">
        <f>=B54-C54</f>
      </c>
      <c r="E54">
        <f>=E53+D54</f>
      </c>
    </row>
    <row r="55">
      <c r="A55" s="2">
        <v>45345</v>
      </c>
      <c r="B55">
        <v>4750</v>
      </c>
      <c r="C55">
        <v>2600</v>
      </c>
      <c r="D55">
        <f>=B55-C55</f>
      </c>
      <c r="E55">
        <f>=E54+D55</f>
      </c>
    </row>
    <row r="56">
      <c r="A56" s="2">
        <v>45346</v>
      </c>
      <c r="B56">
        <v>4900</v>
      </c>
      <c r="C56">
        <v>2720</v>
      </c>
      <c r="D56">
        <f>=B56-C56</f>
      </c>
      <c r="E56">
        <f>=E55+D56</f>
      </c>
    </row>
    <row r="57">
      <c r="A57" s="2">
        <v>45347</v>
      </c>
      <c r="B57">
        <v>5050</v>
      </c>
      <c r="C57">
        <v>2840</v>
      </c>
      <c r="D57">
        <f>=B57-C57</f>
      </c>
      <c r="E57">
        <f>=E56+D57</f>
      </c>
    </row>
    <row r="58">
      <c r="A58" s="2">
        <v>45348</v>
      </c>
      <c r="B58">
        <v>5200</v>
      </c>
      <c r="C58">
        <v>2000</v>
      </c>
      <c r="D58">
        <f>=B58-C58</f>
      </c>
      <c r="E58">
        <f>=E57+D58</f>
      </c>
    </row>
    <row r="59">
      <c r="A59" s="2">
        <v>45349</v>
      </c>
      <c r="B59">
        <v>5350</v>
      </c>
      <c r="C59">
        <v>2120</v>
      </c>
      <c r="D59">
        <f>=B59-C59</f>
      </c>
      <c r="E59">
        <f>=E58+D59</f>
      </c>
    </row>
    <row r="60">
      <c r="A60" s="2">
        <v>45350</v>
      </c>
      <c r="B60">
        <v>5500</v>
      </c>
      <c r="C60">
        <v>2240</v>
      </c>
      <c r="D60">
        <f>=B60-C60</f>
      </c>
      <c r="E60">
        <f>=E59+D60</f>
      </c>
    </row>
    <row r="61">
      <c r="A61" s="2">
        <v>45351</v>
      </c>
      <c r="B61">
        <v>5650</v>
      </c>
      <c r="C61">
        <v>2360</v>
      </c>
      <c r="D61">
        <f>=B61-C61</f>
      </c>
      <c r="E61">
        <f>=E60+D61</f>
      </c>
    </row>
    <row r="62">
      <c r="A62" s="1">
        <v>45352</v>
      </c>
      <c r="B62">
        <v>4000</v>
      </c>
      <c r="C62">
        <v>2480</v>
      </c>
      <c r="D62">
        <f>=B62-C62</f>
      </c>
      <c r="E62">
        <f>=E61+D62</f>
      </c>
    </row>
    <row r="63">
      <c r="A63" s="2">
        <v>45353</v>
      </c>
      <c r="B63">
        <v>4150</v>
      </c>
      <c r="C63">
        <v>2600</v>
      </c>
      <c r="D63">
        <f>=B63-C63</f>
      </c>
      <c r="E63">
        <f>=E62+D63</f>
      </c>
    </row>
    <row r="64">
      <c r="A64" s="2">
        <v>45354</v>
      </c>
      <c r="B64">
        <v>4300</v>
      </c>
      <c r="C64">
        <v>2720</v>
      </c>
      <c r="D64">
        <f>=B64-C64</f>
      </c>
      <c r="E64">
        <f>=E63+D64</f>
      </c>
    </row>
    <row r="65">
      <c r="A65" s="2">
        <v>45355</v>
      </c>
      <c r="B65">
        <v>4450</v>
      </c>
      <c r="C65">
        <v>2840</v>
      </c>
      <c r="D65">
        <f>=B65-C65</f>
      </c>
      <c r="E65">
        <f>=E64+D65</f>
      </c>
    </row>
    <row r="66">
      <c r="A66" s="2">
        <v>45356</v>
      </c>
      <c r="B66">
        <v>4600</v>
      </c>
      <c r="C66">
        <v>2000</v>
      </c>
      <c r="D66">
        <f>=B66-C66</f>
      </c>
      <c r="E66">
        <f>=E65+D66</f>
      </c>
    </row>
    <row r="67">
      <c r="A67" s="2">
        <v>45357</v>
      </c>
      <c r="B67">
        <v>4750</v>
      </c>
      <c r="C67">
        <v>2120</v>
      </c>
      <c r="D67">
        <f>=B67-C67</f>
      </c>
      <c r="E67">
        <f>=E66+D67</f>
      </c>
    </row>
    <row r="68">
      <c r="A68" s="2">
        <v>45358</v>
      </c>
      <c r="B68">
        <v>4900</v>
      </c>
      <c r="C68">
        <v>2240</v>
      </c>
      <c r="D68">
        <f>=B68-C68</f>
      </c>
      <c r="E68">
        <f>=E67+D68</f>
      </c>
    </row>
    <row r="69">
      <c r="A69" s="2">
        <v>45359</v>
      </c>
      <c r="B69">
        <v>5050</v>
      </c>
      <c r="C69">
        <v>2360</v>
      </c>
      <c r="D69">
        <f>=B69-C69</f>
      </c>
      <c r="E69">
        <f>=E68+D69</f>
      </c>
    </row>
    <row r="70">
      <c r="A70" s="2">
        <v>45360</v>
      </c>
      <c r="B70">
        <v>5200</v>
      </c>
      <c r="C70">
        <v>2480</v>
      </c>
      <c r="D70">
        <f>=B70-C70</f>
      </c>
      <c r="E70">
        <f>=E69+D70</f>
      </c>
    </row>
    <row r="71">
      <c r="A71" s="2">
        <v>45361</v>
      </c>
      <c r="B71">
        <v>5350</v>
      </c>
      <c r="C71">
        <v>2600</v>
      </c>
      <c r="D71">
        <f>=B71-C71</f>
      </c>
      <c r="E71">
        <f>=E70+D71</f>
      </c>
    </row>
    <row r="72">
      <c r="A72" s="2">
        <v>45362</v>
      </c>
      <c r="B72">
        <v>5500</v>
      </c>
      <c r="C72">
        <v>2720</v>
      </c>
      <c r="D72">
        <f>=B72-C72</f>
      </c>
      <c r="E72">
        <f>=E71+D72</f>
      </c>
    </row>
    <row r="73">
      <c r="A73" s="2">
        <v>45363</v>
      </c>
      <c r="B73">
        <v>5650</v>
      </c>
      <c r="C73">
        <v>2840</v>
      </c>
      <c r="D73">
        <f>=B73-C73</f>
      </c>
      <c r="E73">
        <f>=E72+D73</f>
      </c>
    </row>
    <row r="74">
      <c r="A74" s="2">
        <v>45364</v>
      </c>
      <c r="B74">
        <v>4000</v>
      </c>
      <c r="C74">
        <v>2000</v>
      </c>
      <c r="D74">
        <f>=B74-C74</f>
      </c>
      <c r="E74">
        <f>=E73+D74</f>
      </c>
    </row>
    <row r="75">
      <c r="A75" s="2">
        <v>45365</v>
      </c>
      <c r="B75">
        <v>4150</v>
      </c>
      <c r="C75">
        <v>2120</v>
      </c>
      <c r="D75">
        <f>=B75-C75</f>
      </c>
      <c r="E75">
        <f>=E74+D75</f>
      </c>
    </row>
    <row r="76">
      <c r="A76" s="2">
        <v>45366</v>
      </c>
      <c r="B76">
        <v>4300</v>
      </c>
      <c r="C76">
        <v>2240</v>
      </c>
      <c r="D76">
        <f>=B76-C76</f>
      </c>
      <c r="E76">
        <f>=E75+D76</f>
      </c>
    </row>
    <row r="77">
      <c r="A77" s="2">
        <v>45367</v>
      </c>
      <c r="B77">
        <v>4450</v>
      </c>
      <c r="C77">
        <v>2360</v>
      </c>
      <c r="D77">
        <f>=B77-C77</f>
      </c>
      <c r="E77">
        <f>=E76+D77</f>
      </c>
    </row>
    <row r="78">
      <c r="A78" s="2">
        <v>45368</v>
      </c>
      <c r="B78">
        <v>4600</v>
      </c>
      <c r="C78">
        <v>2480</v>
      </c>
      <c r="D78">
        <f>=B78-C78</f>
      </c>
      <c r="E78">
        <f>=E77+D78</f>
      </c>
    </row>
    <row r="79">
      <c r="A79" s="2">
        <v>45369</v>
      </c>
      <c r="B79">
        <v>4750</v>
      </c>
      <c r="C79">
        <v>2600</v>
      </c>
      <c r="D79">
        <f>=B79-C79</f>
      </c>
      <c r="E79">
        <f>=E78+D79</f>
      </c>
    </row>
    <row r="80">
      <c r="A80" s="2">
        <v>45370</v>
      </c>
      <c r="B80">
        <v>4900</v>
      </c>
      <c r="C80">
        <v>2720</v>
      </c>
      <c r="D80">
        <f>=B80-C80</f>
      </c>
      <c r="E80">
        <f>=E79+D80</f>
      </c>
    </row>
    <row r="81">
      <c r="A81" s="2">
        <v>45371</v>
      </c>
      <c r="B81">
        <v>5050</v>
      </c>
      <c r="C81">
        <v>2840</v>
      </c>
      <c r="D81">
        <f>=B81-C81</f>
      </c>
      <c r="E81">
        <f>=E80+D81</f>
      </c>
    </row>
    <row r="82">
      <c r="A82" s="2">
        <v>45372</v>
      </c>
      <c r="B82">
        <v>5200</v>
      </c>
      <c r="C82">
        <v>2000</v>
      </c>
      <c r="D82">
        <f>=B82-C82</f>
      </c>
      <c r="E82">
        <f>=E81+D82</f>
      </c>
    </row>
    <row r="83">
      <c r="A83" s="2">
        <v>45373</v>
      </c>
      <c r="B83">
        <v>5350</v>
      </c>
      <c r="C83">
        <v>2120</v>
      </c>
      <c r="D83">
        <f>=B83-C83</f>
      </c>
      <c r="E83">
        <f>=E82+D83</f>
      </c>
    </row>
    <row r="84">
      <c r="A84" s="2">
        <v>45374</v>
      </c>
      <c r="B84">
        <v>5500</v>
      </c>
      <c r="C84">
        <v>2240</v>
      </c>
      <c r="D84">
        <f>=B84-C84</f>
      </c>
      <c r="E84">
        <f>=E83+D84</f>
      </c>
    </row>
    <row r="85">
      <c r="A85" s="2">
        <v>45375</v>
      </c>
      <c r="B85">
        <v>5650</v>
      </c>
      <c r="C85">
        <v>2360</v>
      </c>
      <c r="D85">
        <f>=B85-C85</f>
      </c>
      <c r="E85">
        <f>=E84+D85</f>
      </c>
    </row>
    <row r="86">
      <c r="A86" s="2">
        <v>45376</v>
      </c>
      <c r="B86">
        <v>4000</v>
      </c>
      <c r="C86">
        <v>2480</v>
      </c>
      <c r="D86">
        <f>=B86-C86</f>
      </c>
      <c r="E86">
        <f>=E85+D86</f>
      </c>
    </row>
    <row r="87">
      <c r="A87" s="2">
        <v>45377</v>
      </c>
      <c r="B87">
        <v>4150</v>
      </c>
      <c r="C87">
        <v>2600</v>
      </c>
      <c r="D87">
        <f>=B87-C87</f>
      </c>
      <c r="E87">
        <f>=E86+D87</f>
      </c>
    </row>
    <row r="88">
      <c r="A88" s="2">
        <v>45378</v>
      </c>
      <c r="B88">
        <v>4300</v>
      </c>
      <c r="C88">
        <v>2720</v>
      </c>
      <c r="D88">
        <f>=B88-C88</f>
      </c>
      <c r="E88">
        <f>=E87+D88</f>
      </c>
    </row>
    <row r="89">
      <c r="A89" s="2">
        <v>45379</v>
      </c>
      <c r="B89">
        <v>4450</v>
      </c>
      <c r="C89">
        <v>2840</v>
      </c>
      <c r="D89">
        <f>=B89-C89</f>
      </c>
      <c r="E89">
        <f>=E88+D89</f>
      </c>
    </row>
    <row r="90">
      <c r="A90" s="2">
        <v>45380</v>
      </c>
      <c r="B90">
        <v>4600</v>
      </c>
      <c r="C90">
        <v>2000</v>
      </c>
      <c r="D90">
        <f>=B90-C90</f>
      </c>
      <c r="E90">
        <f>=E89+D90</f>
      </c>
    </row>
    <row r="91">
      <c r="A91" s="2">
        <v>45381</v>
      </c>
      <c r="B91">
        <v>4750</v>
      </c>
      <c r="C91">
        <v>2120</v>
      </c>
      <c r="D91">
        <f>=B91-C91</f>
      </c>
      <c r="E91">
        <f>=E90+D91</f>
      </c>
    </row>
    <row r="92">
      <c r="A92" s="2">
        <v>45382</v>
      </c>
      <c r="B92">
        <v>4900</v>
      </c>
      <c r="C92">
        <v>2240</v>
      </c>
      <c r="D92">
        <f>=B92-C92</f>
      </c>
      <c r="E92">
        <f>=E91+D92</f>
      </c>
    </row>
    <row r="93">
      <c r="A93" s="1">
        <v>45383</v>
      </c>
      <c r="B93">
        <v>5050</v>
      </c>
      <c r="C93">
        <v>2360</v>
      </c>
      <c r="D93">
        <f>=B93-C93</f>
      </c>
      <c r="E93">
        <f>=E92+D93</f>
      </c>
    </row>
    <row r="94">
      <c r="A94" s="2">
        <v>45384</v>
      </c>
      <c r="B94">
        <v>5200</v>
      </c>
      <c r="C94">
        <v>2480</v>
      </c>
      <c r="D94">
        <f>=B94-C94</f>
      </c>
      <c r="E94">
        <f>=E93+D94</f>
      </c>
    </row>
    <row r="95">
      <c r="A95" s="2">
        <v>45385</v>
      </c>
      <c r="B95">
        <v>5350</v>
      </c>
      <c r="C95">
        <v>2600</v>
      </c>
      <c r="D95">
        <f>=B95-C95</f>
      </c>
      <c r="E95">
        <f>=E94+D95</f>
      </c>
    </row>
    <row r="96">
      <c r="A96" s="2">
        <v>45386</v>
      </c>
      <c r="B96">
        <v>5500</v>
      </c>
      <c r="C96">
        <v>2720</v>
      </c>
      <c r="D96">
        <f>=B96-C96</f>
      </c>
      <c r="E96">
        <f>=E95+D96</f>
      </c>
    </row>
    <row r="97">
      <c r="A97" s="2">
        <v>45387</v>
      </c>
      <c r="B97">
        <v>5650</v>
      </c>
      <c r="C97">
        <v>2840</v>
      </c>
      <c r="D97">
        <f>=B97-C97</f>
      </c>
      <c r="E97">
        <f>=E96+D97</f>
      </c>
    </row>
    <row r="98">
      <c r="A98" s="2">
        <v>45388</v>
      </c>
      <c r="B98">
        <v>4000</v>
      </c>
      <c r="C98">
        <v>2000</v>
      </c>
      <c r="D98">
        <f>=B98-C98</f>
      </c>
      <c r="E98">
        <f>=E97+D98</f>
      </c>
    </row>
    <row r="99">
      <c r="A99" s="2">
        <v>45389</v>
      </c>
      <c r="B99">
        <v>4150</v>
      </c>
      <c r="C99">
        <v>2120</v>
      </c>
      <c r="D99">
        <f>=B99-C99</f>
      </c>
      <c r="E99">
        <f>=E98+D99</f>
      </c>
    </row>
    <row r="100">
      <c r="A100" s="2">
        <v>45390</v>
      </c>
      <c r="B100">
        <v>4300</v>
      </c>
      <c r="C100">
        <v>2240</v>
      </c>
      <c r="D100">
        <f>=B100-C100</f>
      </c>
      <c r="E100">
        <f>=E99+D100</f>
      </c>
    </row>
    <row r="101">
      <c r="A101" s="2">
        <v>45391</v>
      </c>
      <c r="B101">
        <v>4450</v>
      </c>
      <c r="C101">
        <v>2360</v>
      </c>
      <c r="D101">
        <f>=B101-C101</f>
      </c>
      <c r="E101">
        <f>=E100+D101</f>
      </c>
    </row>
    <row r="102">
      <c r="A102" t="s">
        <v>5</v>
      </c>
      <c r="B102">
        <f>=SUM(B2:B101)</f>
      </c>
      <c r="C102">
        <f>=SUM(C2:C101)</f>
      </c>
      <c r="D102">
        <f>=SUM(D2:D101)</f>
      </c>
      <c r="E102">
        <f>=MAX(E2:E101)</f>
      </c>
    </row>
  </sheetData>
</worksheet>
</file>

<file path=xl/worksheets/sheet2.xml><?xml version="1.0" encoding="utf-8"?>
<worksheet xmlns="http://schemas.openxmlformats.org/spreadsheetml/2006/main">
  <dimension ref="A1"/>
  <sheetViews>
    <sheetView workbookViewId="0"/>
  </sheetViews>
  <sheetData>
    <row r="1">
      <c r="A1" t="s">
        <v>6</v>
      </c>
      <c r="B1" t="s">
        <v>7</v>
      </c>
      <c r="C1" t="s">
        <v>8</v>
      </c>
      <c r="D1" t="s">
        <v>9</v>
      </c>
      <c r="E1" t="s">
        <v>10</v>
      </c>
      <c r="F1" t="s">
        <v>11</v>
      </c>
      <c r="G1" t="s">
        <v>12</v>
      </c>
    </row>
    <row r="2">
      <c r="A2" t="s">
        <v>13</v>
      </c>
      <c r="B2">
        <v>50</v>
      </c>
      <c r="C2">
        <v>20</v>
      </c>
      <c r="D2">
        <v>15</v>
      </c>
      <c r="E2">
        <f>=B2+C2-D2</f>
      </c>
      <c r="F2">
        <f>=IF(E2&lt;G2,"预警","正常")</f>
      </c>
      <c r="G2">
        <v>20</v>
      </c>
    </row>
    <row r="3">
      <c r="A3" t="s">
        <v>14</v>
      </c>
      <c r="B3">
        <v>60</v>
      </c>
      <c r="C3">
        <v>25</v>
      </c>
      <c r="D3">
        <v>19</v>
      </c>
      <c r="E3">
        <f>=B3+C3-D3</f>
      </c>
      <c r="F3">
        <f>=IF(E3&lt;G3,"预警","正常")</f>
      </c>
      <c r="G3">
        <v>25</v>
      </c>
    </row>
    <row r="4">
      <c r="A4" t="s">
        <v>15</v>
      </c>
      <c r="B4">
        <v>70</v>
      </c>
      <c r="C4">
        <v>30</v>
      </c>
      <c r="D4">
        <v>23</v>
      </c>
      <c r="E4">
        <f>=B4+C4-D4</f>
      </c>
      <c r="F4">
        <f>=IF(E4&lt;G4,"预警","正常")</f>
      </c>
      <c r="G4">
        <v>30</v>
      </c>
    </row>
    <row r="5">
      <c r="A5" t="s">
        <v>16</v>
      </c>
      <c r="B5">
        <v>80</v>
      </c>
      <c r="C5">
        <v>35</v>
      </c>
      <c r="D5">
        <v>27</v>
      </c>
      <c r="E5">
        <f>=B5+C5-D5</f>
      </c>
      <c r="F5">
        <f>=IF(E5&lt;G5,"预警","正常")</f>
      </c>
      <c r="G5">
        <v>35</v>
      </c>
    </row>
    <row r="6">
      <c r="A6" t="s">
        <v>17</v>
      </c>
      <c r="B6">
        <v>90</v>
      </c>
      <c r="C6">
        <v>40</v>
      </c>
      <c r="D6">
        <v>31</v>
      </c>
      <c r="E6">
        <f>=B6+C6-D6</f>
      </c>
      <c r="F6">
        <f>=IF(E6&lt;G6,"预警","正常")</f>
      </c>
      <c r="G6">
        <v>40</v>
      </c>
    </row>
    <row r="7">
      <c r="A7" t="s">
        <v>18</v>
      </c>
      <c r="B7">
        <v>100</v>
      </c>
      <c r="C7">
        <v>20</v>
      </c>
      <c r="D7">
        <v>35</v>
      </c>
      <c r="E7">
        <f>=B7+C7-D7</f>
      </c>
      <c r="F7">
        <f>=IF(E7&lt;G7,"预警","正常")</f>
      </c>
      <c r="G7">
        <v>20</v>
      </c>
    </row>
    <row r="8">
      <c r="A8" t="s">
        <v>19</v>
      </c>
      <c r="B8">
        <v>110</v>
      </c>
      <c r="C8">
        <v>25</v>
      </c>
      <c r="D8">
        <v>15</v>
      </c>
      <c r="E8">
        <f>=B8+C8-D8</f>
      </c>
      <c r="F8">
        <f>=IF(E8&lt;G8,"预警","正常")</f>
      </c>
      <c r="G8">
        <v>25</v>
      </c>
    </row>
    <row r="9">
      <c r="A9" t="s">
        <v>20</v>
      </c>
      <c r="B9">
        <v>120</v>
      </c>
      <c r="C9">
        <v>30</v>
      </c>
      <c r="D9">
        <v>19</v>
      </c>
      <c r="E9">
        <f>=B9+C9-D9</f>
      </c>
      <c r="F9">
        <f>=IF(E9&lt;G9,"预警","正常")</f>
      </c>
      <c r="G9">
        <v>30</v>
      </c>
    </row>
    <row r="10">
      <c r="A10" t="s">
        <v>21</v>
      </c>
      <c r="B10">
        <v>130</v>
      </c>
      <c r="C10">
        <v>35</v>
      </c>
      <c r="D10">
        <v>23</v>
      </c>
      <c r="E10">
        <f>=B10+C10-D10</f>
      </c>
      <c r="F10">
        <f>=IF(E10&lt;G10,"预警","正常")</f>
      </c>
      <c r="G10">
        <v>35</v>
      </c>
    </row>
    <row r="11">
      <c r="A11" t="s">
        <v>22</v>
      </c>
      <c r="B11">
        <v>140</v>
      </c>
      <c r="C11">
        <v>40</v>
      </c>
      <c r="D11">
        <v>27</v>
      </c>
      <c r="E11">
        <f>=B11+C11-D11</f>
      </c>
      <c r="F11">
        <f>=IF(E11&lt;G11,"预警","正常")</f>
      </c>
      <c r="G11">
        <v>40</v>
      </c>
    </row>
    <row r="12">
      <c r="A12" t="s">
        <v>23</v>
      </c>
      <c r="B12">
        <v>50</v>
      </c>
      <c r="C12">
        <v>20</v>
      </c>
      <c r="D12">
        <v>31</v>
      </c>
      <c r="E12">
        <f>=B12+C12-D12</f>
      </c>
      <c r="F12">
        <f>=IF(E12&lt;G12,"预警","正常")</f>
      </c>
      <c r="G12">
        <v>20</v>
      </c>
    </row>
    <row r="13">
      <c r="A13" t="s">
        <v>24</v>
      </c>
      <c r="B13">
        <v>60</v>
      </c>
      <c r="C13">
        <v>25</v>
      </c>
      <c r="D13">
        <v>35</v>
      </c>
      <c r="E13">
        <f>=B13+C13-D13</f>
      </c>
      <c r="F13">
        <f>=IF(E13&lt;G13,"预警","正常")</f>
      </c>
      <c r="G13">
        <v>25</v>
      </c>
    </row>
    <row r="14">
      <c r="A14" t="s">
        <v>25</v>
      </c>
      <c r="B14">
        <v>70</v>
      </c>
      <c r="C14">
        <v>30</v>
      </c>
      <c r="D14">
        <v>15</v>
      </c>
      <c r="E14">
        <f>=B14+C14-D14</f>
      </c>
      <c r="F14">
        <f>=IF(E14&lt;G14,"预警","正常")</f>
      </c>
      <c r="G14">
        <v>30</v>
      </c>
    </row>
    <row r="15">
      <c r="A15" t="s">
        <v>26</v>
      </c>
      <c r="B15">
        <v>80</v>
      </c>
      <c r="C15">
        <v>35</v>
      </c>
      <c r="D15">
        <v>19</v>
      </c>
      <c r="E15">
        <f>=B15+C15-D15</f>
      </c>
      <c r="F15">
        <f>=IF(E15&lt;G15,"预警","正常")</f>
      </c>
      <c r="G15">
        <v>35</v>
      </c>
    </row>
    <row r="16">
      <c r="A16" t="s">
        <v>27</v>
      </c>
      <c r="B16">
        <v>90</v>
      </c>
      <c r="C16">
        <v>40</v>
      </c>
      <c r="D16">
        <v>23</v>
      </c>
      <c r="E16">
        <f>=B16+C16-D16</f>
      </c>
      <c r="F16">
        <f>=IF(E16&lt;G16,"预警","正常")</f>
      </c>
      <c r="G16">
        <v>40</v>
      </c>
    </row>
    <row r="17">
      <c r="A17" t="s">
        <v>28</v>
      </c>
      <c r="B17">
        <v>100</v>
      </c>
      <c r="C17">
        <v>20</v>
      </c>
      <c r="D17">
        <v>27</v>
      </c>
      <c r="E17">
        <f>=B17+C17-D17</f>
      </c>
      <c r="F17">
        <f>=IF(E17&lt;G17,"预警","正常")</f>
      </c>
      <c r="G17">
        <v>20</v>
      </c>
    </row>
    <row r="18">
      <c r="A18" t="s">
        <v>29</v>
      </c>
      <c r="B18">
        <v>110</v>
      </c>
      <c r="C18">
        <v>25</v>
      </c>
      <c r="D18">
        <v>31</v>
      </c>
      <c r="E18">
        <f>=B18+C18-D18</f>
      </c>
      <c r="F18">
        <f>=IF(E18&lt;G18,"预警","正常")</f>
      </c>
      <c r="G18">
        <v>25</v>
      </c>
    </row>
    <row r="19">
      <c r="A19" t="s">
        <v>30</v>
      </c>
      <c r="B19">
        <v>120</v>
      </c>
      <c r="C19">
        <v>30</v>
      </c>
      <c r="D19">
        <v>35</v>
      </c>
      <c r="E19">
        <f>=B19+C19-D19</f>
      </c>
      <c r="F19">
        <f>=IF(E19&lt;G19,"预警","正常")</f>
      </c>
      <c r="G19">
        <v>30</v>
      </c>
    </row>
    <row r="20">
      <c r="A20" t="s">
        <v>31</v>
      </c>
      <c r="B20">
        <v>130</v>
      </c>
      <c r="C20">
        <v>35</v>
      </c>
      <c r="D20">
        <v>15</v>
      </c>
      <c r="E20">
        <f>=B20+C20-D20</f>
      </c>
      <c r="F20">
        <f>=IF(E20&lt;G20,"预警","正常")</f>
      </c>
      <c r="G20">
        <v>35</v>
      </c>
    </row>
    <row r="21">
      <c r="A21" t="s">
        <v>32</v>
      </c>
      <c r="B21">
        <v>140</v>
      </c>
      <c r="C21">
        <v>40</v>
      </c>
      <c r="D21">
        <v>19</v>
      </c>
      <c r="E21">
        <f>=B21+C21-D21</f>
      </c>
      <c r="F21">
        <f>=IF(E21&lt;G21,"预警","正常")</f>
      </c>
      <c r="G21">
        <v>40</v>
      </c>
    </row>
    <row r="22">
      <c r="A22" t="s">
        <v>33</v>
      </c>
      <c r="B22">
        <v>50</v>
      </c>
      <c r="C22">
        <v>20</v>
      </c>
      <c r="D22">
        <v>23</v>
      </c>
      <c r="E22">
        <f>=B22+C22-D22</f>
      </c>
      <c r="F22">
        <f>=IF(E22&lt;G22,"预警","正常")</f>
      </c>
      <c r="G22">
        <v>20</v>
      </c>
    </row>
    <row r="23">
      <c r="A23" t="s">
        <v>34</v>
      </c>
      <c r="B23">
        <v>60</v>
      </c>
      <c r="C23">
        <v>25</v>
      </c>
      <c r="D23">
        <v>27</v>
      </c>
      <c r="E23">
        <f>=B23+C23-D23</f>
      </c>
      <c r="F23">
        <f>=IF(E23&lt;G23,"预警","正常")</f>
      </c>
      <c r="G23">
        <v>25</v>
      </c>
    </row>
    <row r="24">
      <c r="A24" t="s">
        <v>35</v>
      </c>
      <c r="B24">
        <v>70</v>
      </c>
      <c r="C24">
        <v>30</v>
      </c>
      <c r="D24">
        <v>31</v>
      </c>
      <c r="E24">
        <f>=B24+C24-D24</f>
      </c>
      <c r="F24">
        <f>=IF(E24&lt;G24,"预警","正常")</f>
      </c>
      <c r="G24">
        <v>30</v>
      </c>
    </row>
    <row r="25">
      <c r="A25" t="s">
        <v>36</v>
      </c>
      <c r="B25">
        <v>80</v>
      </c>
      <c r="C25">
        <v>35</v>
      </c>
      <c r="D25">
        <v>35</v>
      </c>
      <c r="E25">
        <f>=B25+C25-D25</f>
      </c>
      <c r="F25">
        <f>=IF(E25&lt;G25,"预警","正常")</f>
      </c>
      <c r="G25">
        <v>35</v>
      </c>
    </row>
    <row r="26">
      <c r="A26" t="s">
        <v>37</v>
      </c>
      <c r="B26">
        <v>90</v>
      </c>
      <c r="C26">
        <v>40</v>
      </c>
      <c r="D26">
        <v>15</v>
      </c>
      <c r="E26">
        <f>=B26+C26-D26</f>
      </c>
      <c r="F26">
        <f>=IF(E26&lt;G26,"预警","正常")</f>
      </c>
      <c r="G26">
        <v>40</v>
      </c>
    </row>
    <row r="27">
      <c r="A27" t="s">
        <v>38</v>
      </c>
      <c r="B27">
        <v>100</v>
      </c>
      <c r="C27">
        <v>20</v>
      </c>
      <c r="D27">
        <v>19</v>
      </c>
      <c r="E27">
        <f>=B27+C27-D27</f>
      </c>
      <c r="F27">
        <f>=IF(E27&lt;G27,"预警","正常")</f>
      </c>
      <c r="G27">
        <v>20</v>
      </c>
    </row>
    <row r="28">
      <c r="A28" t="s">
        <v>39</v>
      </c>
      <c r="B28">
        <v>110</v>
      </c>
      <c r="C28">
        <v>25</v>
      </c>
      <c r="D28">
        <v>23</v>
      </c>
      <c r="E28">
        <f>=B28+C28-D28</f>
      </c>
      <c r="F28">
        <f>=IF(E28&lt;G28,"预警","正常")</f>
      </c>
      <c r="G28">
        <v>25</v>
      </c>
    </row>
    <row r="29">
      <c r="A29" t="s">
        <v>40</v>
      </c>
      <c r="B29">
        <v>120</v>
      </c>
      <c r="C29">
        <v>30</v>
      </c>
      <c r="D29">
        <v>27</v>
      </c>
      <c r="E29">
        <f>=B29+C29-D29</f>
      </c>
      <c r="F29">
        <f>=IF(E29&lt;G29,"预警","正常")</f>
      </c>
      <c r="G29">
        <v>30</v>
      </c>
    </row>
    <row r="30">
      <c r="A30" t="s">
        <v>41</v>
      </c>
      <c r="B30">
        <v>130</v>
      </c>
      <c r="C30">
        <v>35</v>
      </c>
      <c r="D30">
        <v>31</v>
      </c>
      <c r="E30">
        <f>=B30+C30-D30</f>
      </c>
      <c r="F30">
        <f>=IF(E30&lt;G30,"预警","正常")</f>
      </c>
      <c r="G30">
        <v>35</v>
      </c>
    </row>
    <row r="31">
      <c r="A31" t="s">
        <v>42</v>
      </c>
      <c r="B31">
        <v>140</v>
      </c>
      <c r="C31">
        <v>40</v>
      </c>
      <c r="D31">
        <v>35</v>
      </c>
      <c r="E31">
        <f>=B31+C31-D31</f>
      </c>
      <c r="F31">
        <f>=IF(E31&lt;G31,"预警","正常")</f>
      </c>
      <c r="G31">
        <v>40</v>
      </c>
    </row>
    <row r="32">
      <c r="A32" t="s">
        <v>43</v>
      </c>
      <c r="B32">
        <v>50</v>
      </c>
      <c r="C32">
        <v>20</v>
      </c>
      <c r="D32">
        <v>15</v>
      </c>
      <c r="E32">
        <f>=B32+C32-D32</f>
      </c>
      <c r="F32">
        <f>=IF(E32&lt;G32,"预警","正常")</f>
      </c>
      <c r="G32">
        <v>20</v>
      </c>
    </row>
    <row r="33">
      <c r="A33" t="s">
        <v>44</v>
      </c>
      <c r="B33">
        <v>60</v>
      </c>
      <c r="C33">
        <v>25</v>
      </c>
      <c r="D33">
        <v>19</v>
      </c>
      <c r="E33">
        <f>=B33+C33-D33</f>
      </c>
      <c r="F33">
        <f>=IF(E33&lt;G33,"预警","正常")</f>
      </c>
      <c r="G33">
        <v>25</v>
      </c>
    </row>
    <row r="34">
      <c r="A34" t="s">
        <v>45</v>
      </c>
      <c r="B34">
        <v>70</v>
      </c>
      <c r="C34">
        <v>30</v>
      </c>
      <c r="D34">
        <v>23</v>
      </c>
      <c r="E34">
        <f>=B34+C34-D34</f>
      </c>
      <c r="F34">
        <f>=IF(E34&lt;G34,"预警","正常")</f>
      </c>
      <c r="G34">
        <v>30</v>
      </c>
    </row>
    <row r="35">
      <c r="A35" t="s">
        <v>46</v>
      </c>
      <c r="B35">
        <v>80</v>
      </c>
      <c r="C35">
        <v>35</v>
      </c>
      <c r="D35">
        <v>27</v>
      </c>
      <c r="E35">
        <f>=B35+C35-D35</f>
      </c>
      <c r="F35">
        <f>=IF(E35&lt;G35,"预警","正常")</f>
      </c>
      <c r="G35">
        <v>35</v>
      </c>
    </row>
    <row r="36">
      <c r="A36" t="s">
        <v>47</v>
      </c>
      <c r="B36">
        <v>90</v>
      </c>
      <c r="C36">
        <v>40</v>
      </c>
      <c r="D36">
        <v>31</v>
      </c>
      <c r="E36">
        <f>=B36+C36-D36</f>
      </c>
      <c r="F36">
        <f>=IF(E36&lt;G36,"预警","正常")</f>
      </c>
      <c r="G36">
        <v>40</v>
      </c>
    </row>
    <row r="37">
      <c r="A37" t="s">
        <v>48</v>
      </c>
      <c r="B37">
        <v>100</v>
      </c>
      <c r="C37">
        <v>20</v>
      </c>
      <c r="D37">
        <v>35</v>
      </c>
      <c r="E37">
        <f>=B37+C37-D37</f>
      </c>
      <c r="F37">
        <f>=IF(E37&lt;G37,"预警","正常")</f>
      </c>
      <c r="G37">
        <v>20</v>
      </c>
    </row>
    <row r="38">
      <c r="A38" t="s">
        <v>49</v>
      </c>
      <c r="B38">
        <v>110</v>
      </c>
      <c r="C38">
        <v>25</v>
      </c>
      <c r="D38">
        <v>15</v>
      </c>
      <c r="E38">
        <f>=B38+C38-D38</f>
      </c>
      <c r="F38">
        <f>=IF(E38&lt;G38,"预警","正常")</f>
      </c>
      <c r="G38">
        <v>25</v>
      </c>
    </row>
    <row r="39">
      <c r="A39" t="s">
        <v>50</v>
      </c>
      <c r="B39">
        <v>120</v>
      </c>
      <c r="C39">
        <v>30</v>
      </c>
      <c r="D39">
        <v>19</v>
      </c>
      <c r="E39">
        <f>=B39+C39-D39</f>
      </c>
      <c r="F39">
        <f>=IF(E39&lt;G39,"预警","正常")</f>
      </c>
      <c r="G39">
        <v>30</v>
      </c>
    </row>
    <row r="40">
      <c r="A40" t="s">
        <v>51</v>
      </c>
      <c r="B40">
        <v>130</v>
      </c>
      <c r="C40">
        <v>35</v>
      </c>
      <c r="D40">
        <v>23</v>
      </c>
      <c r="E40">
        <f>=B40+C40-D40</f>
      </c>
      <c r="F40">
        <f>=IF(E40&lt;G40,"预警","正常")</f>
      </c>
      <c r="G40">
        <v>35</v>
      </c>
    </row>
    <row r="41">
      <c r="A41" t="s">
        <v>52</v>
      </c>
      <c r="B41">
        <v>140</v>
      </c>
      <c r="C41">
        <v>40</v>
      </c>
      <c r="D41">
        <v>27</v>
      </c>
      <c r="E41">
        <f>=B41+C41-D41</f>
      </c>
      <c r="F41">
        <f>=IF(E41&lt;G41,"预警","正常")</f>
      </c>
      <c r="G41">
        <v>40</v>
      </c>
    </row>
    <row r="42">
      <c r="A42" t="s">
        <v>53</v>
      </c>
      <c r="B42">
        <v>50</v>
      </c>
      <c r="C42">
        <v>20</v>
      </c>
      <c r="D42">
        <v>31</v>
      </c>
      <c r="E42">
        <f>=B42+C42-D42</f>
      </c>
      <c r="F42">
        <f>=IF(E42&lt;G42,"预警","正常")</f>
      </c>
      <c r="G42">
        <v>20</v>
      </c>
    </row>
    <row r="43">
      <c r="A43" t="s">
        <v>54</v>
      </c>
      <c r="B43">
        <v>60</v>
      </c>
      <c r="C43">
        <v>25</v>
      </c>
      <c r="D43">
        <v>35</v>
      </c>
      <c r="E43">
        <f>=B43+C43-D43</f>
      </c>
      <c r="F43">
        <f>=IF(E43&lt;G43,"预警","正常")</f>
      </c>
      <c r="G43">
        <v>25</v>
      </c>
    </row>
    <row r="44">
      <c r="A44" t="s">
        <v>55</v>
      </c>
      <c r="B44">
        <v>70</v>
      </c>
      <c r="C44">
        <v>30</v>
      </c>
      <c r="D44">
        <v>15</v>
      </c>
      <c r="E44">
        <f>=B44+C44-D44</f>
      </c>
      <c r="F44">
        <f>=IF(E44&lt;G44,"预警","正常")</f>
      </c>
      <c r="G44">
        <v>30</v>
      </c>
    </row>
    <row r="45">
      <c r="A45" t="s">
        <v>56</v>
      </c>
      <c r="B45">
        <v>80</v>
      </c>
      <c r="C45">
        <v>35</v>
      </c>
      <c r="D45">
        <v>19</v>
      </c>
      <c r="E45">
        <f>=B45+C45-D45</f>
      </c>
      <c r="F45">
        <f>=IF(E45&lt;G45,"预警","正常")</f>
      </c>
      <c r="G45">
        <v>35</v>
      </c>
    </row>
    <row r="46">
      <c r="A46" t="s">
        <v>57</v>
      </c>
      <c r="B46">
        <v>90</v>
      </c>
      <c r="C46">
        <v>40</v>
      </c>
      <c r="D46">
        <v>23</v>
      </c>
      <c r="E46">
        <f>=B46+C46-D46</f>
      </c>
      <c r="F46">
        <f>=IF(E46&lt;G46,"预警","正常")</f>
      </c>
      <c r="G46">
        <v>40</v>
      </c>
    </row>
    <row r="47">
      <c r="A47" t="s">
        <v>58</v>
      </c>
      <c r="B47">
        <v>100</v>
      </c>
      <c r="C47">
        <v>20</v>
      </c>
      <c r="D47">
        <v>27</v>
      </c>
      <c r="E47">
        <f>=B47+C47-D47</f>
      </c>
      <c r="F47">
        <f>=IF(E47&lt;G47,"预警","正常")</f>
      </c>
      <c r="G47">
        <v>20</v>
      </c>
    </row>
    <row r="48">
      <c r="A48" t="s">
        <v>59</v>
      </c>
      <c r="B48">
        <v>110</v>
      </c>
      <c r="C48">
        <v>25</v>
      </c>
      <c r="D48">
        <v>31</v>
      </c>
      <c r="E48">
        <f>=B48+C48-D48</f>
      </c>
      <c r="F48">
        <f>=IF(E48&lt;G48,"预警","正常")</f>
      </c>
      <c r="G48">
        <v>25</v>
      </c>
    </row>
    <row r="49">
      <c r="A49" t="s">
        <v>60</v>
      </c>
      <c r="B49">
        <v>120</v>
      </c>
      <c r="C49">
        <v>30</v>
      </c>
      <c r="D49">
        <v>35</v>
      </c>
      <c r="E49">
        <f>=B49+C49-D49</f>
      </c>
      <c r="F49">
        <f>=IF(E49&lt;G49,"预警","正常")</f>
      </c>
      <c r="G49">
        <v>30</v>
      </c>
    </row>
    <row r="50">
      <c r="A50" t="s">
        <v>61</v>
      </c>
      <c r="B50">
        <v>130</v>
      </c>
      <c r="C50">
        <v>35</v>
      </c>
      <c r="D50">
        <v>15</v>
      </c>
      <c r="E50">
        <f>=B50+C50-D50</f>
      </c>
      <c r="F50">
        <f>=IF(E50&lt;G50,"预警","正常")</f>
      </c>
      <c r="G50">
        <v>35</v>
      </c>
    </row>
    <row r="51">
      <c r="A51" t="s">
        <v>62</v>
      </c>
      <c r="B51">
        <v>140</v>
      </c>
      <c r="C51">
        <v>40</v>
      </c>
      <c r="D51">
        <v>19</v>
      </c>
      <c r="E51">
        <f>=B51+C51-D51</f>
      </c>
      <c r="F51">
        <f>=IF(E51&lt;G51,"预警","正常")</f>
      </c>
      <c r="G51">
        <v>40</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63</v>
      </c>
      <c r="E1" t="s">
        <v>64</v>
      </c>
    </row>
    <row r="2">
      <c r="A2" s="1">
        <v>45292</v>
      </c>
      <c r="B2">
        <v>5220</v>
      </c>
      <c r="C2">
        <v>3135</v>
      </c>
      <c r="D2">
        <f>=B2-C2</f>
      </c>
      <c r="E2">
        <v>1</v>
      </c>
    </row>
    <row r="3">
      <c r="A3" s="2">
        <v>45293</v>
      </c>
      <c r="B3">
        <v>5240</v>
      </c>
      <c r="C3">
        <v>3150</v>
      </c>
      <c r="D3">
        <f>=B3-C3</f>
      </c>
      <c r="E3">
        <v>1</v>
      </c>
    </row>
    <row r="4">
      <c r="A4" s="2">
        <v>45294</v>
      </c>
      <c r="B4">
        <v>5260</v>
      </c>
      <c r="C4">
        <v>3165</v>
      </c>
      <c r="D4">
        <f>=B4-C4</f>
      </c>
      <c r="E4">
        <v>1</v>
      </c>
    </row>
    <row r="5">
      <c r="A5" s="2">
        <v>45295</v>
      </c>
      <c r="B5">
        <v>5280</v>
      </c>
      <c r="C5">
        <v>3180</v>
      </c>
      <c r="D5">
        <f>=B5-C5</f>
      </c>
      <c r="E5">
        <v>1</v>
      </c>
    </row>
    <row r="6">
      <c r="A6" s="2">
        <v>45296</v>
      </c>
      <c r="B6">
        <v>5300</v>
      </c>
      <c r="C6">
        <v>3195</v>
      </c>
      <c r="D6">
        <f>=B6-C6</f>
      </c>
      <c r="E6">
        <v>1</v>
      </c>
    </row>
    <row r="7">
      <c r="A7" s="2">
        <v>45297</v>
      </c>
      <c r="B7">
        <v>5320</v>
      </c>
      <c r="C7">
        <v>3210</v>
      </c>
      <c r="D7">
        <f>=B7-C7</f>
      </c>
      <c r="E7">
        <v>1</v>
      </c>
    </row>
    <row r="8">
      <c r="A8" s="2">
        <v>45298</v>
      </c>
      <c r="B8">
        <v>5340</v>
      </c>
      <c r="C8">
        <v>3225</v>
      </c>
      <c r="D8">
        <f>=B8-C8</f>
      </c>
      <c r="E8">
        <v>1</v>
      </c>
    </row>
    <row r="9">
      <c r="A9" s="2">
        <v>45299</v>
      </c>
      <c r="B9">
        <v>5360</v>
      </c>
      <c r="C9">
        <v>3240</v>
      </c>
      <c r="D9">
        <f>=B9-C9</f>
      </c>
      <c r="E9">
        <v>1</v>
      </c>
    </row>
    <row r="10">
      <c r="A10" s="2">
        <v>45300</v>
      </c>
      <c r="B10">
        <v>5380</v>
      </c>
      <c r="C10">
        <v>3255</v>
      </c>
      <c r="D10">
        <f>=B10-C10</f>
      </c>
      <c r="E10">
        <v>1</v>
      </c>
    </row>
    <row r="11">
      <c r="A11" s="2">
        <v>45301</v>
      </c>
      <c r="B11">
        <v>5400</v>
      </c>
      <c r="C11">
        <v>3270</v>
      </c>
      <c r="D11">
        <f>=B11-C11</f>
      </c>
      <c r="E11">
        <v>1</v>
      </c>
    </row>
    <row r="12">
      <c r="A12" s="2">
        <v>45302</v>
      </c>
      <c r="B12">
        <v>5420</v>
      </c>
      <c r="C12">
        <v>3285</v>
      </c>
      <c r="D12">
        <f>=B12-C12</f>
      </c>
      <c r="E12">
        <v>1</v>
      </c>
    </row>
    <row r="13">
      <c r="A13" s="2">
        <v>45303</v>
      </c>
      <c r="B13">
        <v>5440</v>
      </c>
      <c r="C13">
        <v>3300</v>
      </c>
      <c r="D13">
        <f>=B13-C13</f>
      </c>
      <c r="E13">
        <v>1</v>
      </c>
    </row>
    <row r="14">
      <c r="A14" s="2">
        <v>45304</v>
      </c>
      <c r="B14">
        <v>5460</v>
      </c>
      <c r="C14">
        <v>3315</v>
      </c>
      <c r="D14">
        <f>=B14-C14</f>
      </c>
      <c r="E14">
        <v>1</v>
      </c>
    </row>
    <row r="15">
      <c r="A15" s="2">
        <v>45305</v>
      </c>
      <c r="B15">
        <v>5480</v>
      </c>
      <c r="C15">
        <v>3330</v>
      </c>
      <c r="D15">
        <f>=B15-C15</f>
      </c>
      <c r="E15">
        <v>1</v>
      </c>
    </row>
    <row r="16">
      <c r="A16" s="2">
        <v>45306</v>
      </c>
      <c r="B16">
        <v>5500</v>
      </c>
      <c r="C16">
        <v>3345</v>
      </c>
      <c r="D16">
        <f>=B16-C16</f>
      </c>
      <c r="E16">
        <v>1</v>
      </c>
    </row>
    <row r="17">
      <c r="A17" s="2">
        <v>45307</v>
      </c>
      <c r="B17">
        <v>5520</v>
      </c>
      <c r="C17">
        <v>3360</v>
      </c>
      <c r="D17">
        <f>=B17-C17</f>
      </c>
      <c r="E17">
        <v>1</v>
      </c>
    </row>
    <row r="18">
      <c r="A18" s="2">
        <v>45308</v>
      </c>
      <c r="B18">
        <v>5540</v>
      </c>
      <c r="C18">
        <v>3375</v>
      </c>
      <c r="D18">
        <f>=B18-C18</f>
      </c>
      <c r="E18">
        <v>1</v>
      </c>
    </row>
    <row r="19">
      <c r="A19" s="2">
        <v>45309</v>
      </c>
      <c r="B19">
        <v>5560</v>
      </c>
      <c r="C19">
        <v>3390</v>
      </c>
      <c r="D19">
        <f>=B19-C19</f>
      </c>
      <c r="E19">
        <v>1</v>
      </c>
    </row>
    <row r="20">
      <c r="A20" s="2">
        <v>45310</v>
      </c>
      <c r="B20">
        <v>5580</v>
      </c>
      <c r="C20">
        <v>3405</v>
      </c>
      <c r="D20">
        <f>=B20-C20</f>
      </c>
      <c r="E20">
        <v>1</v>
      </c>
    </row>
    <row r="21">
      <c r="A21" s="2">
        <v>45311</v>
      </c>
      <c r="B21">
        <v>5600</v>
      </c>
      <c r="C21">
        <v>3420</v>
      </c>
      <c r="D21">
        <f>=B21-C21</f>
      </c>
      <c r="E21">
        <v>1</v>
      </c>
    </row>
    <row r="22">
      <c r="A22" s="2">
        <v>45312</v>
      </c>
      <c r="B22">
        <v>5620</v>
      </c>
      <c r="C22">
        <v>3435</v>
      </c>
      <c r="D22">
        <f>=B22-C22</f>
      </c>
      <c r="E22">
        <v>1</v>
      </c>
    </row>
    <row r="23">
      <c r="A23" s="2">
        <v>45313</v>
      </c>
      <c r="B23">
        <v>5640</v>
      </c>
      <c r="C23">
        <v>3450</v>
      </c>
      <c r="D23">
        <f>=B23-C23</f>
      </c>
      <c r="E23">
        <v>1</v>
      </c>
    </row>
    <row r="24">
      <c r="A24" s="2">
        <v>45314</v>
      </c>
      <c r="B24">
        <v>5660</v>
      </c>
      <c r="C24">
        <v>3465</v>
      </c>
      <c r="D24">
        <f>=B24-C24</f>
      </c>
      <c r="E24">
        <v>1</v>
      </c>
    </row>
    <row r="25">
      <c r="A25" s="2">
        <v>45315</v>
      </c>
      <c r="B25">
        <v>5680</v>
      </c>
      <c r="C25">
        <v>3480</v>
      </c>
      <c r="D25">
        <f>=B25-C25</f>
      </c>
      <c r="E25">
        <v>1</v>
      </c>
    </row>
    <row r="26">
      <c r="A26" s="2">
        <v>45316</v>
      </c>
      <c r="B26">
        <v>5700</v>
      </c>
      <c r="C26">
        <v>3495</v>
      </c>
      <c r="D26">
        <f>=B26-C26</f>
      </c>
      <c r="E26">
        <v>1</v>
      </c>
    </row>
    <row r="27">
      <c r="A27" s="2">
        <v>45317</v>
      </c>
      <c r="B27">
        <v>5720</v>
      </c>
      <c r="C27">
        <v>3510</v>
      </c>
      <c r="D27">
        <f>=B27-C27</f>
      </c>
      <c r="E27">
        <v>1</v>
      </c>
    </row>
    <row r="28">
      <c r="A28" s="2">
        <v>45318</v>
      </c>
      <c r="B28">
        <v>5740</v>
      </c>
      <c r="C28">
        <v>3525</v>
      </c>
      <c r="D28">
        <f>=B28-C28</f>
      </c>
      <c r="E28">
        <v>1</v>
      </c>
    </row>
    <row r="29">
      <c r="A29" s="2">
        <v>45319</v>
      </c>
      <c r="B29">
        <v>5760</v>
      </c>
      <c r="C29">
        <v>3540</v>
      </c>
      <c r="D29">
        <f>=B29-C29</f>
      </c>
      <c r="E29">
        <v>1</v>
      </c>
    </row>
    <row r="30">
      <c r="A30" s="2">
        <v>45320</v>
      </c>
      <c r="B30">
        <v>5780</v>
      </c>
      <c r="C30">
        <v>3555</v>
      </c>
      <c r="D30">
        <f>=B30-C30</f>
      </c>
      <c r="E30">
        <v>1</v>
      </c>
    </row>
    <row r="31">
      <c r="A31" s="2">
        <v>45321</v>
      </c>
      <c r="B31">
        <v>5800</v>
      </c>
      <c r="C31">
        <v>3570</v>
      </c>
      <c r="D31">
        <f>=B31-C31</f>
      </c>
      <c r="E31">
        <v>1</v>
      </c>
    </row>
    <row r="32">
      <c r="A32" s="1">
        <v>45323</v>
      </c>
      <c r="B32">
        <v>5420</v>
      </c>
      <c r="C32">
        <v>3255</v>
      </c>
      <c r="D32">
        <f>=B32-C32</f>
      </c>
      <c r="E32">
        <v>2</v>
      </c>
    </row>
    <row r="33">
      <c r="A33" s="2">
        <v>45324</v>
      </c>
      <c r="B33">
        <v>5440</v>
      </c>
      <c r="C33">
        <v>3270</v>
      </c>
      <c r="D33">
        <f>=B33-C33</f>
      </c>
      <c r="E33">
        <v>2</v>
      </c>
    </row>
    <row r="34">
      <c r="A34" s="2">
        <v>45325</v>
      </c>
      <c r="B34">
        <v>5460</v>
      </c>
      <c r="C34">
        <v>3285</v>
      </c>
      <c r="D34">
        <f>=B34-C34</f>
      </c>
      <c r="E34">
        <v>2</v>
      </c>
    </row>
    <row r="35">
      <c r="A35" s="2">
        <v>45326</v>
      </c>
      <c r="B35">
        <v>5480</v>
      </c>
      <c r="C35">
        <v>3300</v>
      </c>
      <c r="D35">
        <f>=B35-C35</f>
      </c>
      <c r="E35">
        <v>2</v>
      </c>
    </row>
    <row r="36">
      <c r="A36" s="2">
        <v>45327</v>
      </c>
      <c r="B36">
        <v>5500</v>
      </c>
      <c r="C36">
        <v>3315</v>
      </c>
      <c r="D36">
        <f>=B36-C36</f>
      </c>
      <c r="E36">
        <v>2</v>
      </c>
    </row>
    <row r="37">
      <c r="A37" s="2">
        <v>45328</v>
      </c>
      <c r="B37">
        <v>5520</v>
      </c>
      <c r="C37">
        <v>3330</v>
      </c>
      <c r="D37">
        <f>=B37-C37</f>
      </c>
      <c r="E37">
        <v>2</v>
      </c>
    </row>
    <row r="38">
      <c r="A38" s="2">
        <v>45329</v>
      </c>
      <c r="B38">
        <v>5540</v>
      </c>
      <c r="C38">
        <v>3345</v>
      </c>
      <c r="D38">
        <f>=B38-C38</f>
      </c>
      <c r="E38">
        <v>2</v>
      </c>
    </row>
    <row r="39">
      <c r="A39" s="2">
        <v>45330</v>
      </c>
      <c r="B39">
        <v>5560</v>
      </c>
      <c r="C39">
        <v>3360</v>
      </c>
      <c r="D39">
        <f>=B39-C39</f>
      </c>
      <c r="E39">
        <v>2</v>
      </c>
    </row>
    <row r="40">
      <c r="A40" s="2">
        <v>45331</v>
      </c>
      <c r="B40">
        <v>5580</v>
      </c>
      <c r="C40">
        <v>3375</v>
      </c>
      <c r="D40">
        <f>=B40-C40</f>
      </c>
      <c r="E40">
        <v>2</v>
      </c>
    </row>
    <row r="41">
      <c r="A41" s="2">
        <v>45332</v>
      </c>
      <c r="B41">
        <v>5600</v>
      </c>
      <c r="C41">
        <v>3390</v>
      </c>
      <c r="D41">
        <f>=B41-C41</f>
      </c>
      <c r="E41">
        <v>2</v>
      </c>
    </row>
    <row r="42">
      <c r="A42" s="2">
        <v>45333</v>
      </c>
      <c r="B42">
        <v>5620</v>
      </c>
      <c r="C42">
        <v>3405</v>
      </c>
      <c r="D42">
        <f>=B42-C42</f>
      </c>
      <c r="E42">
        <v>2</v>
      </c>
    </row>
    <row r="43">
      <c r="A43" s="2">
        <v>45334</v>
      </c>
      <c r="B43">
        <v>5640</v>
      </c>
      <c r="C43">
        <v>3420</v>
      </c>
      <c r="D43">
        <f>=B43-C43</f>
      </c>
      <c r="E43">
        <v>2</v>
      </c>
    </row>
    <row r="44">
      <c r="A44" s="2">
        <v>45335</v>
      </c>
      <c r="B44">
        <v>5660</v>
      </c>
      <c r="C44">
        <v>3435</v>
      </c>
      <c r="D44">
        <f>=B44-C44</f>
      </c>
      <c r="E44">
        <v>2</v>
      </c>
    </row>
    <row r="45">
      <c r="A45" s="2">
        <v>45336</v>
      </c>
      <c r="B45">
        <v>5680</v>
      </c>
      <c r="C45">
        <v>3450</v>
      </c>
      <c r="D45">
        <f>=B45-C45</f>
      </c>
      <c r="E45">
        <v>2</v>
      </c>
    </row>
    <row r="46">
      <c r="A46" s="2">
        <v>45337</v>
      </c>
      <c r="B46">
        <v>5700</v>
      </c>
      <c r="C46">
        <v>3465</v>
      </c>
      <c r="D46">
        <f>=B46-C46</f>
      </c>
      <c r="E46">
        <v>2</v>
      </c>
    </row>
    <row r="47">
      <c r="A47" s="2">
        <v>45338</v>
      </c>
      <c r="B47">
        <v>5720</v>
      </c>
      <c r="C47">
        <v>3480</v>
      </c>
      <c r="D47">
        <f>=B47-C47</f>
      </c>
      <c r="E47">
        <v>2</v>
      </c>
    </row>
    <row r="48">
      <c r="A48" s="2">
        <v>45339</v>
      </c>
      <c r="B48">
        <v>5740</v>
      </c>
      <c r="C48">
        <v>3495</v>
      </c>
      <c r="D48">
        <f>=B48-C48</f>
      </c>
      <c r="E48">
        <v>2</v>
      </c>
    </row>
    <row r="49">
      <c r="A49" s="2">
        <v>45340</v>
      </c>
      <c r="B49">
        <v>5760</v>
      </c>
      <c r="C49">
        <v>3510</v>
      </c>
      <c r="D49">
        <f>=B49-C49</f>
      </c>
      <c r="E49">
        <v>2</v>
      </c>
    </row>
    <row r="50">
      <c r="A50" s="2">
        <v>45341</v>
      </c>
      <c r="B50">
        <v>5780</v>
      </c>
      <c r="C50">
        <v>3525</v>
      </c>
      <c r="D50">
        <f>=B50-C50</f>
      </c>
      <c r="E50">
        <v>2</v>
      </c>
    </row>
    <row r="51">
      <c r="A51" s="2">
        <v>45342</v>
      </c>
      <c r="B51">
        <v>5800</v>
      </c>
      <c r="C51">
        <v>3540</v>
      </c>
      <c r="D51">
        <f>=B51-C51</f>
      </c>
      <c r="E51">
        <v>2</v>
      </c>
    </row>
    <row r="52">
      <c r="A52" s="2">
        <v>45343</v>
      </c>
      <c r="B52">
        <v>5820</v>
      </c>
      <c r="C52">
        <v>3555</v>
      </c>
      <c r="D52">
        <f>=B52-C52</f>
      </c>
      <c r="E52">
        <v>2</v>
      </c>
    </row>
    <row r="53">
      <c r="A53" s="2">
        <v>45344</v>
      </c>
      <c r="B53">
        <v>5840</v>
      </c>
      <c r="C53">
        <v>3570</v>
      </c>
      <c r="D53">
        <f>=B53-C53</f>
      </c>
      <c r="E53">
        <v>2</v>
      </c>
    </row>
    <row r="54">
      <c r="A54" s="2">
        <v>45345</v>
      </c>
      <c r="B54">
        <v>5860</v>
      </c>
      <c r="C54">
        <v>3585</v>
      </c>
      <c r="D54">
        <f>=B54-C54</f>
      </c>
      <c r="E54">
        <v>2</v>
      </c>
    </row>
    <row r="55">
      <c r="A55" s="2">
        <v>45346</v>
      </c>
      <c r="B55">
        <v>5880</v>
      </c>
      <c r="C55">
        <v>3600</v>
      </c>
      <c r="D55">
        <f>=B55-C55</f>
      </c>
      <c r="E55">
        <v>2</v>
      </c>
    </row>
    <row r="56">
      <c r="A56" s="2">
        <v>45347</v>
      </c>
      <c r="B56">
        <v>5900</v>
      </c>
      <c r="C56">
        <v>3615</v>
      </c>
      <c r="D56">
        <f>=B56-C56</f>
      </c>
      <c r="E56">
        <v>2</v>
      </c>
    </row>
    <row r="57">
      <c r="A57" s="2">
        <v>45348</v>
      </c>
      <c r="B57">
        <v>5920</v>
      </c>
      <c r="C57">
        <v>3630</v>
      </c>
      <c r="D57">
        <f>=B57-C57</f>
      </c>
      <c r="E57">
        <v>2</v>
      </c>
    </row>
    <row r="58">
      <c r="A58" s="2">
        <v>45349</v>
      </c>
      <c r="B58">
        <v>5940</v>
      </c>
      <c r="C58">
        <v>3645</v>
      </c>
      <c r="D58">
        <f>=B58-C58</f>
      </c>
      <c r="E58">
        <v>2</v>
      </c>
    </row>
    <row r="59">
      <c r="A59" s="2">
        <v>45350</v>
      </c>
      <c r="B59">
        <v>5960</v>
      </c>
      <c r="C59">
        <v>3660</v>
      </c>
      <c r="D59">
        <f>=B59-C59</f>
      </c>
      <c r="E59">
        <v>2</v>
      </c>
    </row>
    <row r="60">
      <c r="A60" s="2">
        <v>45351</v>
      </c>
      <c r="B60">
        <v>5980</v>
      </c>
      <c r="C60">
        <v>3675</v>
      </c>
      <c r="D60">
        <f>=B60-C60</f>
      </c>
      <c r="E60">
        <v>2</v>
      </c>
    </row>
    <row r="61">
      <c r="A61" s="1">
        <v>45352</v>
      </c>
      <c r="B61">
        <v>6000</v>
      </c>
      <c r="C61">
        <v>3690</v>
      </c>
      <c r="D61">
        <f>=B61-C61</f>
      </c>
      <c r="E61">
        <v>2</v>
      </c>
    </row>
    <row r="62">
      <c r="A62" s="1">
        <v>45352</v>
      </c>
      <c r="B62">
        <v>5620</v>
      </c>
      <c r="C62">
        <v>3375</v>
      </c>
      <c r="D62">
        <f>=B62-C62</f>
      </c>
      <c r="E62">
        <v>3</v>
      </c>
    </row>
    <row r="63">
      <c r="A63" s="2">
        <v>45353</v>
      </c>
      <c r="B63">
        <v>5640</v>
      </c>
      <c r="C63">
        <v>3390</v>
      </c>
      <c r="D63">
        <f>=B63-C63</f>
      </c>
      <c r="E63">
        <v>3</v>
      </c>
    </row>
    <row r="64">
      <c r="A64" s="2">
        <v>45354</v>
      </c>
      <c r="B64">
        <v>5660</v>
      </c>
      <c r="C64">
        <v>3405</v>
      </c>
      <c r="D64">
        <f>=B64-C64</f>
      </c>
      <c r="E64">
        <v>3</v>
      </c>
    </row>
    <row r="65">
      <c r="A65" s="2">
        <v>45355</v>
      </c>
      <c r="B65">
        <v>5680</v>
      </c>
      <c r="C65">
        <v>3420</v>
      </c>
      <c r="D65">
        <f>=B65-C65</f>
      </c>
      <c r="E65">
        <v>3</v>
      </c>
    </row>
    <row r="66">
      <c r="A66" s="2">
        <v>45356</v>
      </c>
      <c r="B66">
        <v>5700</v>
      </c>
      <c r="C66">
        <v>3435</v>
      </c>
      <c r="D66">
        <f>=B66-C66</f>
      </c>
      <c r="E66">
        <v>3</v>
      </c>
    </row>
    <row r="67">
      <c r="A67" s="2">
        <v>45357</v>
      </c>
      <c r="B67">
        <v>5720</v>
      </c>
      <c r="C67">
        <v>3450</v>
      </c>
      <c r="D67">
        <f>=B67-C67</f>
      </c>
      <c r="E67">
        <v>3</v>
      </c>
    </row>
    <row r="68">
      <c r="A68" s="2">
        <v>45358</v>
      </c>
      <c r="B68">
        <v>5740</v>
      </c>
      <c r="C68">
        <v>3465</v>
      </c>
      <c r="D68">
        <f>=B68-C68</f>
      </c>
      <c r="E68">
        <v>3</v>
      </c>
    </row>
    <row r="69">
      <c r="A69" s="2">
        <v>45359</v>
      </c>
      <c r="B69">
        <v>5760</v>
      </c>
      <c r="C69">
        <v>3480</v>
      </c>
      <c r="D69">
        <f>=B69-C69</f>
      </c>
      <c r="E69">
        <v>3</v>
      </c>
    </row>
    <row r="70">
      <c r="A70" s="2">
        <v>45360</v>
      </c>
      <c r="B70">
        <v>5780</v>
      </c>
      <c r="C70">
        <v>3495</v>
      </c>
      <c r="D70">
        <f>=B70-C70</f>
      </c>
      <c r="E70">
        <v>3</v>
      </c>
    </row>
    <row r="71">
      <c r="A71" s="2">
        <v>45361</v>
      </c>
      <c r="B71">
        <v>5800</v>
      </c>
      <c r="C71">
        <v>3510</v>
      </c>
      <c r="D71">
        <f>=B71-C71</f>
      </c>
      <c r="E71">
        <v>3</v>
      </c>
    </row>
    <row r="72">
      <c r="A72" s="2">
        <v>45362</v>
      </c>
      <c r="B72">
        <v>5820</v>
      </c>
      <c r="C72">
        <v>3525</v>
      </c>
      <c r="D72">
        <f>=B72-C72</f>
      </c>
      <c r="E72">
        <v>3</v>
      </c>
    </row>
    <row r="73">
      <c r="A73" s="2">
        <v>45363</v>
      </c>
      <c r="B73">
        <v>5840</v>
      </c>
      <c r="C73">
        <v>3540</v>
      </c>
      <c r="D73">
        <f>=B73-C73</f>
      </c>
      <c r="E73">
        <v>3</v>
      </c>
    </row>
    <row r="74">
      <c r="A74" s="2">
        <v>45364</v>
      </c>
      <c r="B74">
        <v>5860</v>
      </c>
      <c r="C74">
        <v>3555</v>
      </c>
      <c r="D74">
        <f>=B74-C74</f>
      </c>
      <c r="E74">
        <v>3</v>
      </c>
    </row>
    <row r="75">
      <c r="A75" s="2">
        <v>45365</v>
      </c>
      <c r="B75">
        <v>5880</v>
      </c>
      <c r="C75">
        <v>3570</v>
      </c>
      <c r="D75">
        <f>=B75-C75</f>
      </c>
      <c r="E75">
        <v>3</v>
      </c>
    </row>
    <row r="76">
      <c r="A76" s="2">
        <v>45366</v>
      </c>
      <c r="B76">
        <v>5900</v>
      </c>
      <c r="C76">
        <v>3585</v>
      </c>
      <c r="D76">
        <f>=B76-C76</f>
      </c>
      <c r="E76">
        <v>3</v>
      </c>
    </row>
    <row r="77">
      <c r="A77" s="2">
        <v>45367</v>
      </c>
      <c r="B77">
        <v>5920</v>
      </c>
      <c r="C77">
        <v>3600</v>
      </c>
      <c r="D77">
        <f>=B77-C77</f>
      </c>
      <c r="E77">
        <v>3</v>
      </c>
    </row>
    <row r="78">
      <c r="A78" s="2">
        <v>45368</v>
      </c>
      <c r="B78">
        <v>5940</v>
      </c>
      <c r="C78">
        <v>3615</v>
      </c>
      <c r="D78">
        <f>=B78-C78</f>
      </c>
      <c r="E78">
        <v>3</v>
      </c>
    </row>
    <row r="79">
      <c r="A79" s="2">
        <v>45369</v>
      </c>
      <c r="B79">
        <v>5960</v>
      </c>
      <c r="C79">
        <v>3630</v>
      </c>
      <c r="D79">
        <f>=B79-C79</f>
      </c>
      <c r="E79">
        <v>3</v>
      </c>
    </row>
    <row r="80">
      <c r="A80" s="2">
        <v>45370</v>
      </c>
      <c r="B80">
        <v>5980</v>
      </c>
      <c r="C80">
        <v>3645</v>
      </c>
      <c r="D80">
        <f>=B80-C80</f>
      </c>
      <c r="E80">
        <v>3</v>
      </c>
    </row>
    <row r="81">
      <c r="A81" s="2">
        <v>45371</v>
      </c>
      <c r="B81">
        <v>6000</v>
      </c>
      <c r="C81">
        <v>3660</v>
      </c>
      <c r="D81">
        <f>=B81-C81</f>
      </c>
      <c r="E81">
        <v>3</v>
      </c>
    </row>
    <row r="82">
      <c r="A82" s="2">
        <v>45372</v>
      </c>
      <c r="B82">
        <v>6020</v>
      </c>
      <c r="C82">
        <v>3675</v>
      </c>
      <c r="D82">
        <f>=B82-C82</f>
      </c>
      <c r="E82">
        <v>3</v>
      </c>
    </row>
    <row r="83">
      <c r="A83" s="2">
        <v>45373</v>
      </c>
      <c r="B83">
        <v>6040</v>
      </c>
      <c r="C83">
        <v>3690</v>
      </c>
      <c r="D83">
        <f>=B83-C83</f>
      </c>
      <c r="E83">
        <v>3</v>
      </c>
    </row>
    <row r="84">
      <c r="A84" s="2">
        <v>45374</v>
      </c>
      <c r="B84">
        <v>6060</v>
      </c>
      <c r="C84">
        <v>3705</v>
      </c>
      <c r="D84">
        <f>=B84-C84</f>
      </c>
      <c r="E84">
        <v>3</v>
      </c>
    </row>
    <row r="85">
      <c r="A85" s="2">
        <v>45375</v>
      </c>
      <c r="B85">
        <v>6080</v>
      </c>
      <c r="C85">
        <v>3720</v>
      </c>
      <c r="D85">
        <f>=B85-C85</f>
      </c>
      <c r="E85">
        <v>3</v>
      </c>
    </row>
    <row r="86">
      <c r="A86" s="2">
        <v>45376</v>
      </c>
      <c r="B86">
        <v>6100</v>
      </c>
      <c r="C86">
        <v>3735</v>
      </c>
      <c r="D86">
        <f>=B86-C86</f>
      </c>
      <c r="E86">
        <v>3</v>
      </c>
    </row>
    <row r="87">
      <c r="A87" s="2">
        <v>45377</v>
      </c>
      <c r="B87">
        <v>6120</v>
      </c>
      <c r="C87">
        <v>3750</v>
      </c>
      <c r="D87">
        <f>=B87-C87</f>
      </c>
      <c r="E87">
        <v>3</v>
      </c>
    </row>
    <row r="88">
      <c r="A88" s="2">
        <v>45378</v>
      </c>
      <c r="B88">
        <v>6140</v>
      </c>
      <c r="C88">
        <v>3765</v>
      </c>
      <c r="D88">
        <f>=B88-C88</f>
      </c>
      <c r="E88">
        <v>3</v>
      </c>
    </row>
    <row r="89">
      <c r="A89" s="2">
        <v>45379</v>
      </c>
      <c r="B89">
        <v>6160</v>
      </c>
      <c r="C89">
        <v>3780</v>
      </c>
      <c r="D89">
        <f>=B89-C89</f>
      </c>
      <c r="E89">
        <v>3</v>
      </c>
    </row>
    <row r="90">
      <c r="A90" s="2">
        <v>45380</v>
      </c>
      <c r="B90">
        <v>6180</v>
      </c>
      <c r="C90">
        <v>3795</v>
      </c>
      <c r="D90">
        <f>=B90-C90</f>
      </c>
      <c r="E90">
        <v>3</v>
      </c>
    </row>
    <row r="91">
      <c r="A91" s="2">
        <v>45381</v>
      </c>
      <c r="B91">
        <v>6200</v>
      </c>
      <c r="C91">
        <v>3810</v>
      </c>
      <c r="D91">
        <f>=B91-C91</f>
      </c>
      <c r="E91">
        <v>3</v>
      </c>
    </row>
    <row r="92">
      <c r="A92" s="1">
        <v>45383</v>
      </c>
      <c r="B92">
        <v>5820</v>
      </c>
      <c r="C92">
        <v>3495</v>
      </c>
      <c r="D92">
        <f>=B92-C92</f>
      </c>
      <c r="E92">
        <v>4</v>
      </c>
    </row>
    <row r="93">
      <c r="A93" s="2">
        <v>45384</v>
      </c>
      <c r="B93">
        <v>5840</v>
      </c>
      <c r="C93">
        <v>3510</v>
      </c>
      <c r="D93">
        <f>=B93-C93</f>
      </c>
      <c r="E93">
        <v>4</v>
      </c>
    </row>
    <row r="94">
      <c r="A94" s="2">
        <v>45385</v>
      </c>
      <c r="B94">
        <v>5860</v>
      </c>
      <c r="C94">
        <v>3525</v>
      </c>
      <c r="D94">
        <f>=B94-C94</f>
      </c>
      <c r="E94">
        <v>4</v>
      </c>
    </row>
    <row r="95">
      <c r="A95" s="2">
        <v>45386</v>
      </c>
      <c r="B95">
        <v>5880</v>
      </c>
      <c r="C95">
        <v>3540</v>
      </c>
      <c r="D95">
        <f>=B95-C95</f>
      </c>
      <c r="E95">
        <v>4</v>
      </c>
    </row>
    <row r="96">
      <c r="A96" s="2">
        <v>45387</v>
      </c>
      <c r="B96">
        <v>5900</v>
      </c>
      <c r="C96">
        <v>3555</v>
      </c>
      <c r="D96">
        <f>=B96-C96</f>
      </c>
      <c r="E96">
        <v>4</v>
      </c>
    </row>
    <row r="97">
      <c r="A97" s="2">
        <v>45388</v>
      </c>
      <c r="B97">
        <v>5920</v>
      </c>
      <c r="C97">
        <v>3570</v>
      </c>
      <c r="D97">
        <f>=B97-C97</f>
      </c>
      <c r="E97">
        <v>4</v>
      </c>
    </row>
    <row r="98">
      <c r="A98" s="2">
        <v>45389</v>
      </c>
      <c r="B98">
        <v>5940</v>
      </c>
      <c r="C98">
        <v>3585</v>
      </c>
      <c r="D98">
        <f>=B98-C98</f>
      </c>
      <c r="E98">
        <v>4</v>
      </c>
    </row>
    <row r="99">
      <c r="A99" s="2">
        <v>45390</v>
      </c>
      <c r="B99">
        <v>5960</v>
      </c>
      <c r="C99">
        <v>3600</v>
      </c>
      <c r="D99">
        <f>=B99-C99</f>
      </c>
      <c r="E99">
        <v>4</v>
      </c>
    </row>
    <row r="100">
      <c r="A100" s="2">
        <v>45391</v>
      </c>
      <c r="B100">
        <v>5980</v>
      </c>
      <c r="C100">
        <v>3615</v>
      </c>
      <c r="D100">
        <f>=B100-C100</f>
      </c>
      <c r="E100">
        <v>4</v>
      </c>
    </row>
    <row r="101">
      <c r="A101" s="2">
        <v>45392</v>
      </c>
      <c r="B101">
        <v>6000</v>
      </c>
      <c r="C101">
        <v>3630</v>
      </c>
      <c r="D101">
        <f>=B101-C101</f>
      </c>
      <c r="E101">
        <v>4</v>
      </c>
    </row>
    <row r="102">
      <c r="A102" s="2">
        <v>45393</v>
      </c>
      <c r="B102">
        <v>6020</v>
      </c>
      <c r="C102">
        <v>3645</v>
      </c>
      <c r="D102">
        <f>=B102-C102</f>
      </c>
      <c r="E102">
        <v>4</v>
      </c>
    </row>
    <row r="103">
      <c r="A103" s="2">
        <v>45394</v>
      </c>
      <c r="B103">
        <v>6040</v>
      </c>
      <c r="C103">
        <v>3660</v>
      </c>
      <c r="D103">
        <f>=B103-C103</f>
      </c>
      <c r="E103">
        <v>4</v>
      </c>
    </row>
    <row r="104">
      <c r="A104" s="2">
        <v>45395</v>
      </c>
      <c r="B104">
        <v>6060</v>
      </c>
      <c r="C104">
        <v>3675</v>
      </c>
      <c r="D104">
        <f>=B104-C104</f>
      </c>
      <c r="E104">
        <v>4</v>
      </c>
    </row>
    <row r="105">
      <c r="A105" s="2">
        <v>45396</v>
      </c>
      <c r="B105">
        <v>6080</v>
      </c>
      <c r="C105">
        <v>3690</v>
      </c>
      <c r="D105">
        <f>=B105-C105</f>
      </c>
      <c r="E105">
        <v>4</v>
      </c>
    </row>
    <row r="106">
      <c r="A106" s="2">
        <v>45397</v>
      </c>
      <c r="B106">
        <v>6100</v>
      </c>
      <c r="C106">
        <v>3705</v>
      </c>
      <c r="D106">
        <f>=B106-C106</f>
      </c>
      <c r="E106">
        <v>4</v>
      </c>
    </row>
    <row r="107">
      <c r="A107" s="2">
        <v>45398</v>
      </c>
      <c r="B107">
        <v>6120</v>
      </c>
      <c r="C107">
        <v>3720</v>
      </c>
      <c r="D107">
        <f>=B107-C107</f>
      </c>
      <c r="E107">
        <v>4</v>
      </c>
    </row>
    <row r="108">
      <c r="A108" s="2">
        <v>45399</v>
      </c>
      <c r="B108">
        <v>6140</v>
      </c>
      <c r="C108">
        <v>3735</v>
      </c>
      <c r="D108">
        <f>=B108-C108</f>
      </c>
      <c r="E108">
        <v>4</v>
      </c>
    </row>
    <row r="109">
      <c r="A109" s="2">
        <v>45400</v>
      </c>
      <c r="B109">
        <v>6160</v>
      </c>
      <c r="C109">
        <v>3750</v>
      </c>
      <c r="D109">
        <f>=B109-C109</f>
      </c>
      <c r="E109">
        <v>4</v>
      </c>
    </row>
    <row r="110">
      <c r="A110" s="2">
        <v>45401</v>
      </c>
      <c r="B110">
        <v>6180</v>
      </c>
      <c r="C110">
        <v>3765</v>
      </c>
      <c r="D110">
        <f>=B110-C110</f>
      </c>
      <c r="E110">
        <v>4</v>
      </c>
    </row>
    <row r="111">
      <c r="A111" s="2">
        <v>45402</v>
      </c>
      <c r="B111">
        <v>6200</v>
      </c>
      <c r="C111">
        <v>3780</v>
      </c>
      <c r="D111">
        <f>=B111-C111</f>
      </c>
      <c r="E111">
        <v>4</v>
      </c>
    </row>
    <row r="112">
      <c r="A112" s="2">
        <v>45403</v>
      </c>
      <c r="B112">
        <v>6220</v>
      </c>
      <c r="C112">
        <v>3795</v>
      </c>
      <c r="D112">
        <f>=B112-C112</f>
      </c>
      <c r="E112">
        <v>4</v>
      </c>
    </row>
    <row r="113">
      <c r="A113" s="2">
        <v>45404</v>
      </c>
      <c r="B113">
        <v>6240</v>
      </c>
      <c r="C113">
        <v>3810</v>
      </c>
      <c r="D113">
        <f>=B113-C113</f>
      </c>
      <c r="E113">
        <v>4</v>
      </c>
    </row>
    <row r="114">
      <c r="A114" s="2">
        <v>45405</v>
      </c>
      <c r="B114">
        <v>6260</v>
      </c>
      <c r="C114">
        <v>3825</v>
      </c>
      <c r="D114">
        <f>=B114-C114</f>
      </c>
      <c r="E114">
        <v>4</v>
      </c>
    </row>
    <row r="115">
      <c r="A115" s="2">
        <v>45406</v>
      </c>
      <c r="B115">
        <v>6280</v>
      </c>
      <c r="C115">
        <v>3840</v>
      </c>
      <c r="D115">
        <f>=B115-C115</f>
      </c>
      <c r="E115">
        <v>4</v>
      </c>
    </row>
    <row r="116">
      <c r="A116" s="2">
        <v>45407</v>
      </c>
      <c r="B116">
        <v>6300</v>
      </c>
      <c r="C116">
        <v>3855</v>
      </c>
      <c r="D116">
        <f>=B116-C116</f>
      </c>
      <c r="E116">
        <v>4</v>
      </c>
    </row>
    <row r="117">
      <c r="A117" s="2">
        <v>45408</v>
      </c>
      <c r="B117">
        <v>6320</v>
      </c>
      <c r="C117">
        <v>3870</v>
      </c>
      <c r="D117">
        <f>=B117-C117</f>
      </c>
      <c r="E117">
        <v>4</v>
      </c>
    </row>
    <row r="118">
      <c r="A118" s="2">
        <v>45409</v>
      </c>
      <c r="B118">
        <v>6340</v>
      </c>
      <c r="C118">
        <v>3885</v>
      </c>
      <c r="D118">
        <f>=B118-C118</f>
      </c>
      <c r="E118">
        <v>4</v>
      </c>
    </row>
    <row r="119">
      <c r="A119" s="2">
        <v>45410</v>
      </c>
      <c r="B119">
        <v>6360</v>
      </c>
      <c r="C119">
        <v>3900</v>
      </c>
      <c r="D119">
        <f>=B119-C119</f>
      </c>
      <c r="E119">
        <v>4</v>
      </c>
    </row>
    <row r="120">
      <c r="A120" s="2">
        <v>45411</v>
      </c>
      <c r="B120">
        <v>6380</v>
      </c>
      <c r="C120">
        <v>3915</v>
      </c>
      <c r="D120">
        <f>=B120-C120</f>
      </c>
      <c r="E120">
        <v>4</v>
      </c>
    </row>
    <row r="121">
      <c r="A121" s="2">
        <v>45412</v>
      </c>
      <c r="B121">
        <v>6400</v>
      </c>
      <c r="C121">
        <v>3930</v>
      </c>
      <c r="D121">
        <f>=B121-C121</f>
      </c>
      <c r="E121">
        <v>4</v>
      </c>
    </row>
    <row r="122">
      <c r="A122" s="1">
        <v>45413</v>
      </c>
      <c r="B122">
        <v>6020</v>
      </c>
      <c r="C122">
        <v>3615</v>
      </c>
      <c r="D122">
        <f>=B122-C122</f>
      </c>
      <c r="E122">
        <v>5</v>
      </c>
    </row>
    <row r="123">
      <c r="A123" s="2">
        <v>45414</v>
      </c>
      <c r="B123">
        <v>6040</v>
      </c>
      <c r="C123">
        <v>3630</v>
      </c>
      <c r="D123">
        <f>=B123-C123</f>
      </c>
      <c r="E123">
        <v>5</v>
      </c>
    </row>
    <row r="124">
      <c r="A124" s="2">
        <v>45415</v>
      </c>
      <c r="B124">
        <v>6060</v>
      </c>
      <c r="C124">
        <v>3645</v>
      </c>
      <c r="D124">
        <f>=B124-C124</f>
      </c>
      <c r="E124">
        <v>5</v>
      </c>
    </row>
    <row r="125">
      <c r="A125" s="2">
        <v>45416</v>
      </c>
      <c r="B125">
        <v>6080</v>
      </c>
      <c r="C125">
        <v>3660</v>
      </c>
      <c r="D125">
        <f>=B125-C125</f>
      </c>
      <c r="E125">
        <v>5</v>
      </c>
    </row>
    <row r="126">
      <c r="A126" s="2">
        <v>45417</v>
      </c>
      <c r="B126">
        <v>6100</v>
      </c>
      <c r="C126">
        <v>3675</v>
      </c>
      <c r="D126">
        <f>=B126-C126</f>
      </c>
      <c r="E126">
        <v>5</v>
      </c>
    </row>
    <row r="127">
      <c r="A127" s="2">
        <v>45418</v>
      </c>
      <c r="B127">
        <v>6120</v>
      </c>
      <c r="C127">
        <v>3690</v>
      </c>
      <c r="D127">
        <f>=B127-C127</f>
      </c>
      <c r="E127">
        <v>5</v>
      </c>
    </row>
    <row r="128">
      <c r="A128" s="2">
        <v>45419</v>
      </c>
      <c r="B128">
        <v>6140</v>
      </c>
      <c r="C128">
        <v>3705</v>
      </c>
      <c r="D128">
        <f>=B128-C128</f>
      </c>
      <c r="E128">
        <v>5</v>
      </c>
    </row>
    <row r="129">
      <c r="A129" s="2">
        <v>45420</v>
      </c>
      <c r="B129">
        <v>6160</v>
      </c>
      <c r="C129">
        <v>3720</v>
      </c>
      <c r="D129">
        <f>=B129-C129</f>
      </c>
      <c r="E129">
        <v>5</v>
      </c>
    </row>
    <row r="130">
      <c r="A130" s="2">
        <v>45421</v>
      </c>
      <c r="B130">
        <v>6180</v>
      </c>
      <c r="C130">
        <v>3735</v>
      </c>
      <c r="D130">
        <f>=B130-C130</f>
      </c>
      <c r="E130">
        <v>5</v>
      </c>
    </row>
    <row r="131">
      <c r="A131" s="2">
        <v>45422</v>
      </c>
      <c r="B131">
        <v>6200</v>
      </c>
      <c r="C131">
        <v>3750</v>
      </c>
      <c r="D131">
        <f>=B131-C131</f>
      </c>
      <c r="E131">
        <v>5</v>
      </c>
    </row>
    <row r="132">
      <c r="A132" s="2">
        <v>45423</v>
      </c>
      <c r="B132">
        <v>6220</v>
      </c>
      <c r="C132">
        <v>3765</v>
      </c>
      <c r="D132">
        <f>=B132-C132</f>
      </c>
      <c r="E132">
        <v>5</v>
      </c>
    </row>
    <row r="133">
      <c r="A133" s="2">
        <v>45424</v>
      </c>
      <c r="B133">
        <v>6240</v>
      </c>
      <c r="C133">
        <v>3780</v>
      </c>
      <c r="D133">
        <f>=B133-C133</f>
      </c>
      <c r="E133">
        <v>5</v>
      </c>
    </row>
    <row r="134">
      <c r="A134" s="2">
        <v>45425</v>
      </c>
      <c r="B134">
        <v>6260</v>
      </c>
      <c r="C134">
        <v>3795</v>
      </c>
      <c r="D134">
        <f>=B134-C134</f>
      </c>
      <c r="E134">
        <v>5</v>
      </c>
    </row>
    <row r="135">
      <c r="A135" s="2">
        <v>45426</v>
      </c>
      <c r="B135">
        <v>6280</v>
      </c>
      <c r="C135">
        <v>3810</v>
      </c>
      <c r="D135">
        <f>=B135-C135</f>
      </c>
      <c r="E135">
        <v>5</v>
      </c>
    </row>
    <row r="136">
      <c r="A136" s="2">
        <v>45427</v>
      </c>
      <c r="B136">
        <v>6300</v>
      </c>
      <c r="C136">
        <v>3825</v>
      </c>
      <c r="D136">
        <f>=B136-C136</f>
      </c>
      <c r="E136">
        <v>5</v>
      </c>
    </row>
    <row r="137">
      <c r="A137" s="2">
        <v>45428</v>
      </c>
      <c r="B137">
        <v>6320</v>
      </c>
      <c r="C137">
        <v>3840</v>
      </c>
      <c r="D137">
        <f>=B137-C137</f>
      </c>
      <c r="E137">
        <v>5</v>
      </c>
    </row>
    <row r="138">
      <c r="A138" s="2">
        <v>45429</v>
      </c>
      <c r="B138">
        <v>6340</v>
      </c>
      <c r="C138">
        <v>3855</v>
      </c>
      <c r="D138">
        <f>=B138-C138</f>
      </c>
      <c r="E138">
        <v>5</v>
      </c>
    </row>
    <row r="139">
      <c r="A139" s="2">
        <v>45430</v>
      </c>
      <c r="B139">
        <v>6360</v>
      </c>
      <c r="C139">
        <v>3870</v>
      </c>
      <c r="D139">
        <f>=B139-C139</f>
      </c>
      <c r="E139">
        <v>5</v>
      </c>
    </row>
    <row r="140">
      <c r="A140" s="2">
        <v>45431</v>
      </c>
      <c r="B140">
        <v>6380</v>
      </c>
      <c r="C140">
        <v>3885</v>
      </c>
      <c r="D140">
        <f>=B140-C140</f>
      </c>
      <c r="E140">
        <v>5</v>
      </c>
    </row>
    <row r="141">
      <c r="A141" s="2">
        <v>45432</v>
      </c>
      <c r="B141">
        <v>6400</v>
      </c>
      <c r="C141">
        <v>3900</v>
      </c>
      <c r="D141">
        <f>=B141-C141</f>
      </c>
      <c r="E141">
        <v>5</v>
      </c>
    </row>
    <row r="142">
      <c r="A142" s="2">
        <v>45433</v>
      </c>
      <c r="B142">
        <v>6420</v>
      </c>
      <c r="C142">
        <v>3915</v>
      </c>
      <c r="D142">
        <f>=B142-C142</f>
      </c>
      <c r="E142">
        <v>5</v>
      </c>
    </row>
    <row r="143">
      <c r="A143" s="2">
        <v>45434</v>
      </c>
      <c r="B143">
        <v>6440</v>
      </c>
      <c r="C143">
        <v>3930</v>
      </c>
      <c r="D143">
        <f>=B143-C143</f>
      </c>
      <c r="E143">
        <v>5</v>
      </c>
    </row>
    <row r="144">
      <c r="A144" s="2">
        <v>45435</v>
      </c>
      <c r="B144">
        <v>6460</v>
      </c>
      <c r="C144">
        <v>3945</v>
      </c>
      <c r="D144">
        <f>=B144-C144</f>
      </c>
      <c r="E144">
        <v>5</v>
      </c>
    </row>
    <row r="145">
      <c r="A145" s="2">
        <v>45436</v>
      </c>
      <c r="B145">
        <v>6480</v>
      </c>
      <c r="C145">
        <v>3960</v>
      </c>
      <c r="D145">
        <f>=B145-C145</f>
      </c>
      <c r="E145">
        <v>5</v>
      </c>
    </row>
    <row r="146">
      <c r="A146" s="2">
        <v>45437</v>
      </c>
      <c r="B146">
        <v>6500</v>
      </c>
      <c r="C146">
        <v>3975</v>
      </c>
      <c r="D146">
        <f>=B146-C146</f>
      </c>
      <c r="E146">
        <v>5</v>
      </c>
    </row>
    <row r="147">
      <c r="A147" s="2">
        <v>45438</v>
      </c>
      <c r="B147">
        <v>6520</v>
      </c>
      <c r="C147">
        <v>3990</v>
      </c>
      <c r="D147">
        <f>=B147-C147</f>
      </c>
      <c r="E147">
        <v>5</v>
      </c>
    </row>
    <row r="148">
      <c r="A148" s="2">
        <v>45439</v>
      </c>
      <c r="B148">
        <v>6540</v>
      </c>
      <c r="C148">
        <v>4005</v>
      </c>
      <c r="D148">
        <f>=B148-C148</f>
      </c>
      <c r="E148">
        <v>5</v>
      </c>
    </row>
    <row r="149">
      <c r="A149" s="2">
        <v>45440</v>
      </c>
      <c r="B149">
        <v>6560</v>
      </c>
      <c r="C149">
        <v>4020</v>
      </c>
      <c r="D149">
        <f>=B149-C149</f>
      </c>
      <c r="E149">
        <v>5</v>
      </c>
    </row>
    <row r="150">
      <c r="A150" s="2">
        <v>45441</v>
      </c>
      <c r="B150">
        <v>6580</v>
      </c>
      <c r="C150">
        <v>4035</v>
      </c>
      <c r="D150">
        <f>=B150-C150</f>
      </c>
      <c r="E150">
        <v>5</v>
      </c>
    </row>
    <row r="151">
      <c r="A151" s="2">
        <v>45442</v>
      </c>
      <c r="B151">
        <v>6600</v>
      </c>
      <c r="C151">
        <v>4050</v>
      </c>
      <c r="D151">
        <f>=B151-C151</f>
      </c>
      <c r="E151">
        <v>5</v>
      </c>
    </row>
    <row r="152">
      <c r="A152" s="1">
        <v>45444</v>
      </c>
      <c r="B152">
        <v>6220</v>
      </c>
      <c r="C152">
        <v>3735</v>
      </c>
      <c r="D152">
        <f>=B152-C152</f>
      </c>
      <c r="E152">
        <v>6</v>
      </c>
    </row>
    <row r="153">
      <c r="A153" s="2">
        <v>45445</v>
      </c>
      <c r="B153">
        <v>6240</v>
      </c>
      <c r="C153">
        <v>3750</v>
      </c>
      <c r="D153">
        <f>=B153-C153</f>
      </c>
      <c r="E153">
        <v>6</v>
      </c>
    </row>
    <row r="154">
      <c r="A154" s="2">
        <v>45446</v>
      </c>
      <c r="B154">
        <v>6260</v>
      </c>
      <c r="C154">
        <v>3765</v>
      </c>
      <c r="D154">
        <f>=B154-C154</f>
      </c>
      <c r="E154">
        <v>6</v>
      </c>
    </row>
    <row r="155">
      <c r="A155" s="2">
        <v>45447</v>
      </c>
      <c r="B155">
        <v>6280</v>
      </c>
      <c r="C155">
        <v>3780</v>
      </c>
      <c r="D155">
        <f>=B155-C155</f>
      </c>
      <c r="E155">
        <v>6</v>
      </c>
    </row>
    <row r="156">
      <c r="A156" s="2">
        <v>45448</v>
      </c>
      <c r="B156">
        <v>6300</v>
      </c>
      <c r="C156">
        <v>3795</v>
      </c>
      <c r="D156">
        <f>=B156-C156</f>
      </c>
      <c r="E156">
        <v>6</v>
      </c>
    </row>
    <row r="157">
      <c r="A157" s="2">
        <v>45449</v>
      </c>
      <c r="B157">
        <v>6320</v>
      </c>
      <c r="C157">
        <v>3810</v>
      </c>
      <c r="D157">
        <f>=B157-C157</f>
      </c>
      <c r="E157">
        <v>6</v>
      </c>
    </row>
    <row r="158">
      <c r="A158" s="2">
        <v>45450</v>
      </c>
      <c r="B158">
        <v>6340</v>
      </c>
      <c r="C158">
        <v>3825</v>
      </c>
      <c r="D158">
        <f>=B158-C158</f>
      </c>
      <c r="E158">
        <v>6</v>
      </c>
    </row>
    <row r="159">
      <c r="A159" s="2">
        <v>45451</v>
      </c>
      <c r="B159">
        <v>6360</v>
      </c>
      <c r="C159">
        <v>3840</v>
      </c>
      <c r="D159">
        <f>=B159-C159</f>
      </c>
      <c r="E159">
        <v>6</v>
      </c>
    </row>
    <row r="160">
      <c r="A160" s="2">
        <v>45452</v>
      </c>
      <c r="B160">
        <v>6380</v>
      </c>
      <c r="C160">
        <v>3855</v>
      </c>
      <c r="D160">
        <f>=B160-C160</f>
      </c>
      <c r="E160">
        <v>6</v>
      </c>
    </row>
    <row r="161">
      <c r="A161" s="2">
        <v>45453</v>
      </c>
      <c r="B161">
        <v>6400</v>
      </c>
      <c r="C161">
        <v>3870</v>
      </c>
      <c r="D161">
        <f>=B161-C161</f>
      </c>
      <c r="E161">
        <v>6</v>
      </c>
    </row>
    <row r="162">
      <c r="A162" s="2">
        <v>45454</v>
      </c>
      <c r="B162">
        <v>6420</v>
      </c>
      <c r="C162">
        <v>3885</v>
      </c>
      <c r="D162">
        <f>=B162-C162</f>
      </c>
      <c r="E162">
        <v>6</v>
      </c>
    </row>
    <row r="163">
      <c r="A163" s="2">
        <v>45455</v>
      </c>
      <c r="B163">
        <v>6440</v>
      </c>
      <c r="C163">
        <v>3900</v>
      </c>
      <c r="D163">
        <f>=B163-C163</f>
      </c>
      <c r="E163">
        <v>6</v>
      </c>
    </row>
    <row r="164">
      <c r="A164" s="2">
        <v>45456</v>
      </c>
      <c r="B164">
        <v>6460</v>
      </c>
      <c r="C164">
        <v>3915</v>
      </c>
      <c r="D164">
        <f>=B164-C164</f>
      </c>
      <c r="E164">
        <v>6</v>
      </c>
    </row>
    <row r="165">
      <c r="A165" s="2">
        <v>45457</v>
      </c>
      <c r="B165">
        <v>6480</v>
      </c>
      <c r="C165">
        <v>3930</v>
      </c>
      <c r="D165">
        <f>=B165-C165</f>
      </c>
      <c r="E165">
        <v>6</v>
      </c>
    </row>
    <row r="166">
      <c r="A166" s="2">
        <v>45458</v>
      </c>
      <c r="B166">
        <v>6500</v>
      </c>
      <c r="C166">
        <v>3945</v>
      </c>
      <c r="D166">
        <f>=B166-C166</f>
      </c>
      <c r="E166">
        <v>6</v>
      </c>
    </row>
    <row r="167">
      <c r="A167" s="2">
        <v>45459</v>
      </c>
      <c r="B167">
        <v>6520</v>
      </c>
      <c r="C167">
        <v>3960</v>
      </c>
      <c r="D167">
        <f>=B167-C167</f>
      </c>
      <c r="E167">
        <v>6</v>
      </c>
    </row>
    <row r="168">
      <c r="A168" s="2">
        <v>45460</v>
      </c>
      <c r="B168">
        <v>6540</v>
      </c>
      <c r="C168">
        <v>3975</v>
      </c>
      <c r="D168">
        <f>=B168-C168</f>
      </c>
      <c r="E168">
        <v>6</v>
      </c>
    </row>
    <row r="169">
      <c r="A169" s="2">
        <v>45461</v>
      </c>
      <c r="B169">
        <v>6560</v>
      </c>
      <c r="C169">
        <v>3990</v>
      </c>
      <c r="D169">
        <f>=B169-C169</f>
      </c>
      <c r="E169">
        <v>6</v>
      </c>
    </row>
    <row r="170">
      <c r="A170" s="2">
        <v>45462</v>
      </c>
      <c r="B170">
        <v>6580</v>
      </c>
      <c r="C170">
        <v>4005</v>
      </c>
      <c r="D170">
        <f>=B170-C170</f>
      </c>
      <c r="E170">
        <v>6</v>
      </c>
    </row>
    <row r="171">
      <c r="A171" s="2">
        <v>45463</v>
      </c>
      <c r="B171">
        <v>6600</v>
      </c>
      <c r="C171">
        <v>4020</v>
      </c>
      <c r="D171">
        <f>=B171-C171</f>
      </c>
      <c r="E171">
        <v>6</v>
      </c>
    </row>
    <row r="172">
      <c r="A172" s="2">
        <v>45464</v>
      </c>
      <c r="B172">
        <v>6620</v>
      </c>
      <c r="C172">
        <v>4035</v>
      </c>
      <c r="D172">
        <f>=B172-C172</f>
      </c>
      <c r="E172">
        <v>6</v>
      </c>
    </row>
    <row r="173">
      <c r="A173" s="2">
        <v>45465</v>
      </c>
      <c r="B173">
        <v>6640</v>
      </c>
      <c r="C173">
        <v>4050</v>
      </c>
      <c r="D173">
        <f>=B173-C173</f>
      </c>
      <c r="E173">
        <v>6</v>
      </c>
    </row>
    <row r="174">
      <c r="A174" s="2">
        <v>45466</v>
      </c>
      <c r="B174">
        <v>6660</v>
      </c>
      <c r="C174">
        <v>4065</v>
      </c>
      <c r="D174">
        <f>=B174-C174</f>
      </c>
      <c r="E174">
        <v>6</v>
      </c>
    </row>
    <row r="175">
      <c r="A175" s="2">
        <v>45467</v>
      </c>
      <c r="B175">
        <v>6680</v>
      </c>
      <c r="C175">
        <v>4080</v>
      </c>
      <c r="D175">
        <f>=B175-C175</f>
      </c>
      <c r="E175">
        <v>6</v>
      </c>
    </row>
    <row r="176">
      <c r="A176" s="2">
        <v>45468</v>
      </c>
      <c r="B176">
        <v>6700</v>
      </c>
      <c r="C176">
        <v>4095</v>
      </c>
      <c r="D176">
        <f>=B176-C176</f>
      </c>
      <c r="E176">
        <v>6</v>
      </c>
    </row>
    <row r="177">
      <c r="A177" s="2">
        <v>45469</v>
      </c>
      <c r="B177">
        <v>6720</v>
      </c>
      <c r="C177">
        <v>4110</v>
      </c>
      <c r="D177">
        <f>=B177-C177</f>
      </c>
      <c r="E177">
        <v>6</v>
      </c>
    </row>
    <row r="178">
      <c r="A178" s="2">
        <v>45470</v>
      </c>
      <c r="B178">
        <v>6740</v>
      </c>
      <c r="C178">
        <v>4125</v>
      </c>
      <c r="D178">
        <f>=B178-C178</f>
      </c>
      <c r="E178">
        <v>6</v>
      </c>
    </row>
    <row r="179">
      <c r="A179" s="2">
        <v>45471</v>
      </c>
      <c r="B179">
        <v>6760</v>
      </c>
      <c r="C179">
        <v>4140</v>
      </c>
      <c r="D179">
        <f>=B179-C179</f>
      </c>
      <c r="E179">
        <v>6</v>
      </c>
    </row>
    <row r="180">
      <c r="A180" s="2">
        <v>45472</v>
      </c>
      <c r="B180">
        <v>6780</v>
      </c>
      <c r="C180">
        <v>4155</v>
      </c>
      <c r="D180">
        <f>=B180-C180</f>
      </c>
      <c r="E180">
        <v>6</v>
      </c>
    </row>
    <row r="181">
      <c r="A181" s="2">
        <v>45473</v>
      </c>
      <c r="B181">
        <v>6800</v>
      </c>
      <c r="C181">
        <v>4170</v>
      </c>
      <c r="D181">
        <f>=B181-C181</f>
      </c>
      <c r="E181">
        <v>6</v>
      </c>
    </row>
    <row r="182">
      <c r="A182" s="1">
        <v>45474</v>
      </c>
      <c r="B182">
        <v>6420</v>
      </c>
      <c r="C182">
        <v>3855</v>
      </c>
      <c r="D182">
        <f>=B182-C182</f>
      </c>
      <c r="E182">
        <v>7</v>
      </c>
    </row>
    <row r="183">
      <c r="A183" s="2">
        <v>45475</v>
      </c>
      <c r="B183">
        <v>6440</v>
      </c>
      <c r="C183">
        <v>3870</v>
      </c>
      <c r="D183">
        <f>=B183-C183</f>
      </c>
      <c r="E183">
        <v>7</v>
      </c>
    </row>
    <row r="184">
      <c r="A184" s="2">
        <v>45476</v>
      </c>
      <c r="B184">
        <v>6460</v>
      </c>
      <c r="C184">
        <v>3885</v>
      </c>
      <c r="D184">
        <f>=B184-C184</f>
      </c>
      <c r="E184">
        <v>7</v>
      </c>
    </row>
    <row r="185">
      <c r="A185" s="2">
        <v>45477</v>
      </c>
      <c r="B185">
        <v>6480</v>
      </c>
      <c r="C185">
        <v>3900</v>
      </c>
      <c r="D185">
        <f>=B185-C185</f>
      </c>
      <c r="E185">
        <v>7</v>
      </c>
    </row>
    <row r="186">
      <c r="A186" s="2">
        <v>45478</v>
      </c>
      <c r="B186">
        <v>6500</v>
      </c>
      <c r="C186">
        <v>3915</v>
      </c>
      <c r="D186">
        <f>=B186-C186</f>
      </c>
      <c r="E186">
        <v>7</v>
      </c>
    </row>
    <row r="187">
      <c r="A187" s="2">
        <v>45479</v>
      </c>
      <c r="B187">
        <v>6520</v>
      </c>
      <c r="C187">
        <v>3930</v>
      </c>
      <c r="D187">
        <f>=B187-C187</f>
      </c>
      <c r="E187">
        <v>7</v>
      </c>
    </row>
    <row r="188">
      <c r="A188" s="2">
        <v>45480</v>
      </c>
      <c r="B188">
        <v>6540</v>
      </c>
      <c r="C188">
        <v>3945</v>
      </c>
      <c r="D188">
        <f>=B188-C188</f>
      </c>
      <c r="E188">
        <v>7</v>
      </c>
    </row>
    <row r="189">
      <c r="A189" s="2">
        <v>45481</v>
      </c>
      <c r="B189">
        <v>6560</v>
      </c>
      <c r="C189">
        <v>3960</v>
      </c>
      <c r="D189">
        <f>=B189-C189</f>
      </c>
      <c r="E189">
        <v>7</v>
      </c>
    </row>
    <row r="190">
      <c r="A190" s="2">
        <v>45482</v>
      </c>
      <c r="B190">
        <v>6580</v>
      </c>
      <c r="C190">
        <v>3975</v>
      </c>
      <c r="D190">
        <f>=B190-C190</f>
      </c>
      <c r="E190">
        <v>7</v>
      </c>
    </row>
    <row r="191">
      <c r="A191" s="2">
        <v>45483</v>
      </c>
      <c r="B191">
        <v>6600</v>
      </c>
      <c r="C191">
        <v>3990</v>
      </c>
      <c r="D191">
        <f>=B191-C191</f>
      </c>
      <c r="E191">
        <v>7</v>
      </c>
    </row>
    <row r="192">
      <c r="A192" s="2">
        <v>45484</v>
      </c>
      <c r="B192">
        <v>6620</v>
      </c>
      <c r="C192">
        <v>4005</v>
      </c>
      <c r="D192">
        <f>=B192-C192</f>
      </c>
      <c r="E192">
        <v>7</v>
      </c>
    </row>
    <row r="193">
      <c r="A193" s="2">
        <v>45485</v>
      </c>
      <c r="B193">
        <v>6640</v>
      </c>
      <c r="C193">
        <v>4020</v>
      </c>
      <c r="D193">
        <f>=B193-C193</f>
      </c>
      <c r="E193">
        <v>7</v>
      </c>
    </row>
    <row r="194">
      <c r="A194" s="2">
        <v>45486</v>
      </c>
      <c r="B194">
        <v>6660</v>
      </c>
      <c r="C194">
        <v>4035</v>
      </c>
      <c r="D194">
        <f>=B194-C194</f>
      </c>
      <c r="E194">
        <v>7</v>
      </c>
    </row>
    <row r="195">
      <c r="A195" s="2">
        <v>45487</v>
      </c>
      <c r="B195">
        <v>6680</v>
      </c>
      <c r="C195">
        <v>4050</v>
      </c>
      <c r="D195">
        <f>=B195-C195</f>
      </c>
      <c r="E195">
        <v>7</v>
      </c>
    </row>
    <row r="196">
      <c r="A196" s="2">
        <v>45488</v>
      </c>
      <c r="B196">
        <v>6700</v>
      </c>
      <c r="C196">
        <v>4065</v>
      </c>
      <c r="D196">
        <f>=B196-C196</f>
      </c>
      <c r="E196">
        <v>7</v>
      </c>
    </row>
    <row r="197">
      <c r="A197" s="2">
        <v>45489</v>
      </c>
      <c r="B197">
        <v>6720</v>
      </c>
      <c r="C197">
        <v>4080</v>
      </c>
      <c r="D197">
        <f>=B197-C197</f>
      </c>
      <c r="E197">
        <v>7</v>
      </c>
    </row>
    <row r="198">
      <c r="A198" s="2">
        <v>45490</v>
      </c>
      <c r="B198">
        <v>6740</v>
      </c>
      <c r="C198">
        <v>4095</v>
      </c>
      <c r="D198">
        <f>=B198-C198</f>
      </c>
      <c r="E198">
        <v>7</v>
      </c>
    </row>
    <row r="199">
      <c r="A199" s="2">
        <v>45491</v>
      </c>
      <c r="B199">
        <v>6760</v>
      </c>
      <c r="C199">
        <v>4110</v>
      </c>
      <c r="D199">
        <f>=B199-C199</f>
      </c>
      <c r="E199">
        <v>7</v>
      </c>
    </row>
    <row r="200">
      <c r="A200" s="2">
        <v>45492</v>
      </c>
      <c r="B200">
        <v>6780</v>
      </c>
      <c r="C200">
        <v>4125</v>
      </c>
      <c r="D200">
        <f>=B200-C200</f>
      </c>
      <c r="E200">
        <v>7</v>
      </c>
    </row>
    <row r="201">
      <c r="A201" s="2">
        <v>45493</v>
      </c>
      <c r="B201">
        <v>6800</v>
      </c>
      <c r="C201">
        <v>4140</v>
      </c>
      <c r="D201">
        <f>=B201-C201</f>
      </c>
      <c r="E201">
        <v>7</v>
      </c>
    </row>
    <row r="202">
      <c r="A202" s="2">
        <v>45494</v>
      </c>
      <c r="B202">
        <v>6820</v>
      </c>
      <c r="C202">
        <v>4155</v>
      </c>
      <c r="D202">
        <f>=B202-C202</f>
      </c>
      <c r="E202">
        <v>7</v>
      </c>
    </row>
    <row r="203">
      <c r="A203" s="2">
        <v>45495</v>
      </c>
      <c r="B203">
        <v>6840</v>
      </c>
      <c r="C203">
        <v>4170</v>
      </c>
      <c r="D203">
        <f>=B203-C203</f>
      </c>
      <c r="E203">
        <v>7</v>
      </c>
    </row>
    <row r="204">
      <c r="A204" s="2">
        <v>45496</v>
      </c>
      <c r="B204">
        <v>6860</v>
      </c>
      <c r="C204">
        <v>4185</v>
      </c>
      <c r="D204">
        <f>=B204-C204</f>
      </c>
      <c r="E204">
        <v>7</v>
      </c>
    </row>
    <row r="205">
      <c r="A205" s="2">
        <v>45497</v>
      </c>
      <c r="B205">
        <v>6880</v>
      </c>
      <c r="C205">
        <v>4200</v>
      </c>
      <c r="D205">
        <f>=B205-C205</f>
      </c>
      <c r="E205">
        <v>7</v>
      </c>
    </row>
    <row r="206">
      <c r="A206" s="2">
        <v>45498</v>
      </c>
      <c r="B206">
        <v>6900</v>
      </c>
      <c r="C206">
        <v>4215</v>
      </c>
      <c r="D206">
        <f>=B206-C206</f>
      </c>
      <c r="E206">
        <v>7</v>
      </c>
    </row>
    <row r="207">
      <c r="A207" s="2">
        <v>45499</v>
      </c>
      <c r="B207">
        <v>6920</v>
      </c>
      <c r="C207">
        <v>4230</v>
      </c>
      <c r="D207">
        <f>=B207-C207</f>
      </c>
      <c r="E207">
        <v>7</v>
      </c>
    </row>
    <row r="208">
      <c r="A208" s="2">
        <v>45500</v>
      </c>
      <c r="B208">
        <v>6940</v>
      </c>
      <c r="C208">
        <v>4245</v>
      </c>
      <c r="D208">
        <f>=B208-C208</f>
      </c>
      <c r="E208">
        <v>7</v>
      </c>
    </row>
    <row r="209">
      <c r="A209" s="2">
        <v>45501</v>
      </c>
      <c r="B209">
        <v>6960</v>
      </c>
      <c r="C209">
        <v>4260</v>
      </c>
      <c r="D209">
        <f>=B209-C209</f>
      </c>
      <c r="E209">
        <v>7</v>
      </c>
    </row>
    <row r="210">
      <c r="A210" s="2">
        <v>45502</v>
      </c>
      <c r="B210">
        <v>6980</v>
      </c>
      <c r="C210">
        <v>4275</v>
      </c>
      <c r="D210">
        <f>=B210-C210</f>
      </c>
      <c r="E210">
        <v>7</v>
      </c>
    </row>
    <row r="211">
      <c r="A211" s="2">
        <v>45503</v>
      </c>
      <c r="B211">
        <v>7000</v>
      </c>
      <c r="C211">
        <v>4290</v>
      </c>
      <c r="D211">
        <f>=B211-C211</f>
      </c>
      <c r="E211">
        <v>7</v>
      </c>
    </row>
    <row r="212">
      <c r="A212" s="1">
        <v>45505</v>
      </c>
      <c r="B212">
        <v>6620</v>
      </c>
      <c r="C212">
        <v>3975</v>
      </c>
      <c r="D212">
        <f>=B212-C212</f>
      </c>
      <c r="E212">
        <v>8</v>
      </c>
    </row>
    <row r="213">
      <c r="A213" s="2">
        <v>45506</v>
      </c>
      <c r="B213">
        <v>6640</v>
      </c>
      <c r="C213">
        <v>3990</v>
      </c>
      <c r="D213">
        <f>=B213-C213</f>
      </c>
      <c r="E213">
        <v>8</v>
      </c>
    </row>
    <row r="214">
      <c r="A214" s="2">
        <v>45507</v>
      </c>
      <c r="B214">
        <v>6660</v>
      </c>
      <c r="C214">
        <v>4005</v>
      </c>
      <c r="D214">
        <f>=B214-C214</f>
      </c>
      <c r="E214">
        <v>8</v>
      </c>
    </row>
    <row r="215">
      <c r="A215" s="2">
        <v>45508</v>
      </c>
      <c r="B215">
        <v>6680</v>
      </c>
      <c r="C215">
        <v>4020</v>
      </c>
      <c r="D215">
        <f>=B215-C215</f>
      </c>
      <c r="E215">
        <v>8</v>
      </c>
    </row>
    <row r="216">
      <c r="A216" s="2">
        <v>45509</v>
      </c>
      <c r="B216">
        <v>6700</v>
      </c>
      <c r="C216">
        <v>4035</v>
      </c>
      <c r="D216">
        <f>=B216-C216</f>
      </c>
      <c r="E216">
        <v>8</v>
      </c>
    </row>
    <row r="217">
      <c r="A217" s="2">
        <v>45510</v>
      </c>
      <c r="B217">
        <v>6720</v>
      </c>
      <c r="C217">
        <v>4050</v>
      </c>
      <c r="D217">
        <f>=B217-C217</f>
      </c>
      <c r="E217">
        <v>8</v>
      </c>
    </row>
    <row r="218">
      <c r="A218" s="2">
        <v>45511</v>
      </c>
      <c r="B218">
        <v>6740</v>
      </c>
      <c r="C218">
        <v>4065</v>
      </c>
      <c r="D218">
        <f>=B218-C218</f>
      </c>
      <c r="E218">
        <v>8</v>
      </c>
    </row>
    <row r="219">
      <c r="A219" s="2">
        <v>45512</v>
      </c>
      <c r="B219">
        <v>6760</v>
      </c>
      <c r="C219">
        <v>4080</v>
      </c>
      <c r="D219">
        <f>=B219-C219</f>
      </c>
      <c r="E219">
        <v>8</v>
      </c>
    </row>
    <row r="220">
      <c r="A220" s="2">
        <v>45513</v>
      </c>
      <c r="B220">
        <v>6780</v>
      </c>
      <c r="C220">
        <v>4095</v>
      </c>
      <c r="D220">
        <f>=B220-C220</f>
      </c>
      <c r="E220">
        <v>8</v>
      </c>
    </row>
    <row r="221">
      <c r="A221" s="2">
        <v>45514</v>
      </c>
      <c r="B221">
        <v>6800</v>
      </c>
      <c r="C221">
        <v>4110</v>
      </c>
      <c r="D221">
        <f>=B221-C221</f>
      </c>
      <c r="E221">
        <v>8</v>
      </c>
    </row>
    <row r="222">
      <c r="A222" s="2">
        <v>45515</v>
      </c>
      <c r="B222">
        <v>6820</v>
      </c>
      <c r="C222">
        <v>4125</v>
      </c>
      <c r="D222">
        <f>=B222-C222</f>
      </c>
      <c r="E222">
        <v>8</v>
      </c>
    </row>
    <row r="223">
      <c r="A223" s="2">
        <v>45516</v>
      </c>
      <c r="B223">
        <v>6840</v>
      </c>
      <c r="C223">
        <v>4140</v>
      </c>
      <c r="D223">
        <f>=B223-C223</f>
      </c>
      <c r="E223">
        <v>8</v>
      </c>
    </row>
    <row r="224">
      <c r="A224" s="2">
        <v>45517</v>
      </c>
      <c r="B224">
        <v>6860</v>
      </c>
      <c r="C224">
        <v>4155</v>
      </c>
      <c r="D224">
        <f>=B224-C224</f>
      </c>
      <c r="E224">
        <v>8</v>
      </c>
    </row>
    <row r="225">
      <c r="A225" s="2">
        <v>45518</v>
      </c>
      <c r="B225">
        <v>6880</v>
      </c>
      <c r="C225">
        <v>4170</v>
      </c>
      <c r="D225">
        <f>=B225-C225</f>
      </c>
      <c r="E225">
        <v>8</v>
      </c>
    </row>
    <row r="226">
      <c r="A226" s="2">
        <v>45519</v>
      </c>
      <c r="B226">
        <v>6900</v>
      </c>
      <c r="C226">
        <v>4185</v>
      </c>
      <c r="D226">
        <f>=B226-C226</f>
      </c>
      <c r="E226">
        <v>8</v>
      </c>
    </row>
    <row r="227">
      <c r="A227" s="2">
        <v>45520</v>
      </c>
      <c r="B227">
        <v>6920</v>
      </c>
      <c r="C227">
        <v>4200</v>
      </c>
      <c r="D227">
        <f>=B227-C227</f>
      </c>
      <c r="E227">
        <v>8</v>
      </c>
    </row>
    <row r="228">
      <c r="A228" s="2">
        <v>45521</v>
      </c>
      <c r="B228">
        <v>6940</v>
      </c>
      <c r="C228">
        <v>4215</v>
      </c>
      <c r="D228">
        <f>=B228-C228</f>
      </c>
      <c r="E228">
        <v>8</v>
      </c>
    </row>
    <row r="229">
      <c r="A229" s="2">
        <v>45522</v>
      </c>
      <c r="B229">
        <v>6960</v>
      </c>
      <c r="C229">
        <v>4230</v>
      </c>
      <c r="D229">
        <f>=B229-C229</f>
      </c>
      <c r="E229">
        <v>8</v>
      </c>
    </row>
    <row r="230">
      <c r="A230" s="2">
        <v>45523</v>
      </c>
      <c r="B230">
        <v>6980</v>
      </c>
      <c r="C230">
        <v>4245</v>
      </c>
      <c r="D230">
        <f>=B230-C230</f>
      </c>
      <c r="E230">
        <v>8</v>
      </c>
    </row>
    <row r="231">
      <c r="A231" s="2">
        <v>45524</v>
      </c>
      <c r="B231">
        <v>7000</v>
      </c>
      <c r="C231">
        <v>4260</v>
      </c>
      <c r="D231">
        <f>=B231-C231</f>
      </c>
      <c r="E231">
        <v>8</v>
      </c>
    </row>
    <row r="232">
      <c r="A232" s="2">
        <v>45525</v>
      </c>
      <c r="B232">
        <v>7020</v>
      </c>
      <c r="C232">
        <v>4275</v>
      </c>
      <c r="D232">
        <f>=B232-C232</f>
      </c>
      <c r="E232">
        <v>8</v>
      </c>
    </row>
    <row r="233">
      <c r="A233" s="2">
        <v>45526</v>
      </c>
      <c r="B233">
        <v>7040</v>
      </c>
      <c r="C233">
        <v>4290</v>
      </c>
      <c r="D233">
        <f>=B233-C233</f>
      </c>
      <c r="E233">
        <v>8</v>
      </c>
    </row>
    <row r="234">
      <c r="A234" s="2">
        <v>45527</v>
      </c>
      <c r="B234">
        <v>7060</v>
      </c>
      <c r="C234">
        <v>4305</v>
      </c>
      <c r="D234">
        <f>=B234-C234</f>
      </c>
      <c r="E234">
        <v>8</v>
      </c>
    </row>
    <row r="235">
      <c r="A235" s="2">
        <v>45528</v>
      </c>
      <c r="B235">
        <v>7080</v>
      </c>
      <c r="C235">
        <v>4320</v>
      </c>
      <c r="D235">
        <f>=B235-C235</f>
      </c>
      <c r="E235">
        <v>8</v>
      </c>
    </row>
    <row r="236">
      <c r="A236" s="2">
        <v>45529</v>
      </c>
      <c r="B236">
        <v>7100</v>
      </c>
      <c r="C236">
        <v>4335</v>
      </c>
      <c r="D236">
        <f>=B236-C236</f>
      </c>
      <c r="E236">
        <v>8</v>
      </c>
    </row>
    <row r="237">
      <c r="A237" s="2">
        <v>45530</v>
      </c>
      <c r="B237">
        <v>7120</v>
      </c>
      <c r="C237">
        <v>4350</v>
      </c>
      <c r="D237">
        <f>=B237-C237</f>
      </c>
      <c r="E237">
        <v>8</v>
      </c>
    </row>
    <row r="238">
      <c r="A238" s="2">
        <v>45531</v>
      </c>
      <c r="B238">
        <v>7140</v>
      </c>
      <c r="C238">
        <v>4365</v>
      </c>
      <c r="D238">
        <f>=B238-C238</f>
      </c>
      <c r="E238">
        <v>8</v>
      </c>
    </row>
    <row r="239">
      <c r="A239" s="2">
        <v>45532</v>
      </c>
      <c r="B239">
        <v>7160</v>
      </c>
      <c r="C239">
        <v>4380</v>
      </c>
      <c r="D239">
        <f>=B239-C239</f>
      </c>
      <c r="E239">
        <v>8</v>
      </c>
    </row>
    <row r="240">
      <c r="A240" s="2">
        <v>45533</v>
      </c>
      <c r="B240">
        <v>7180</v>
      </c>
      <c r="C240">
        <v>4395</v>
      </c>
      <c r="D240">
        <f>=B240-C240</f>
      </c>
      <c r="E240">
        <v>8</v>
      </c>
    </row>
    <row r="241">
      <c r="A241" s="2">
        <v>45534</v>
      </c>
      <c r="B241">
        <v>7200</v>
      </c>
      <c r="C241">
        <v>4410</v>
      </c>
      <c r="D241">
        <f>=B241-C241</f>
      </c>
      <c r="E241">
        <v>8</v>
      </c>
    </row>
    <row r="242">
      <c r="A242" s="1">
        <v>45536</v>
      </c>
      <c r="B242">
        <v>6820</v>
      </c>
      <c r="C242">
        <v>4095</v>
      </c>
      <c r="D242">
        <f>=B242-C242</f>
      </c>
      <c r="E242">
        <v>9</v>
      </c>
    </row>
    <row r="243">
      <c r="A243" s="2">
        <v>45537</v>
      </c>
      <c r="B243">
        <v>6840</v>
      </c>
      <c r="C243">
        <v>4110</v>
      </c>
      <c r="D243">
        <f>=B243-C243</f>
      </c>
      <c r="E243">
        <v>9</v>
      </c>
    </row>
    <row r="244">
      <c r="A244" s="2">
        <v>45538</v>
      </c>
      <c r="B244">
        <v>6860</v>
      </c>
      <c r="C244">
        <v>4125</v>
      </c>
      <c r="D244">
        <f>=B244-C244</f>
      </c>
      <c r="E244">
        <v>9</v>
      </c>
    </row>
    <row r="245">
      <c r="A245" s="2">
        <v>45539</v>
      </c>
      <c r="B245">
        <v>6880</v>
      </c>
      <c r="C245">
        <v>4140</v>
      </c>
      <c r="D245">
        <f>=B245-C245</f>
      </c>
      <c r="E245">
        <v>9</v>
      </c>
    </row>
    <row r="246">
      <c r="A246" s="2">
        <v>45540</v>
      </c>
      <c r="B246">
        <v>6900</v>
      </c>
      <c r="C246">
        <v>4155</v>
      </c>
      <c r="D246">
        <f>=B246-C246</f>
      </c>
      <c r="E246">
        <v>9</v>
      </c>
    </row>
    <row r="247">
      <c r="A247" s="2">
        <v>45541</v>
      </c>
      <c r="B247">
        <v>6920</v>
      </c>
      <c r="C247">
        <v>4170</v>
      </c>
      <c r="D247">
        <f>=B247-C247</f>
      </c>
      <c r="E247">
        <v>9</v>
      </c>
    </row>
    <row r="248">
      <c r="A248" s="2">
        <v>45542</v>
      </c>
      <c r="B248">
        <v>6940</v>
      </c>
      <c r="C248">
        <v>4185</v>
      </c>
      <c r="D248">
        <f>=B248-C248</f>
      </c>
      <c r="E248">
        <v>9</v>
      </c>
    </row>
    <row r="249">
      <c r="A249" s="2">
        <v>45543</v>
      </c>
      <c r="B249">
        <v>6960</v>
      </c>
      <c r="C249">
        <v>4200</v>
      </c>
      <c r="D249">
        <f>=B249-C249</f>
      </c>
      <c r="E249">
        <v>9</v>
      </c>
    </row>
    <row r="250">
      <c r="A250" s="2">
        <v>45544</v>
      </c>
      <c r="B250">
        <v>6980</v>
      </c>
      <c r="C250">
        <v>4215</v>
      </c>
      <c r="D250">
        <f>=B250-C250</f>
      </c>
      <c r="E250">
        <v>9</v>
      </c>
    </row>
    <row r="251">
      <c r="A251" s="2">
        <v>45545</v>
      </c>
      <c r="B251">
        <v>7000</v>
      </c>
      <c r="C251">
        <v>4230</v>
      </c>
      <c r="D251">
        <f>=B251-C251</f>
      </c>
      <c r="E251">
        <v>9</v>
      </c>
    </row>
    <row r="252">
      <c r="A252" s="2">
        <v>45546</v>
      </c>
      <c r="B252">
        <v>7020</v>
      </c>
      <c r="C252">
        <v>4245</v>
      </c>
      <c r="D252">
        <f>=B252-C252</f>
      </c>
      <c r="E252">
        <v>9</v>
      </c>
    </row>
    <row r="253">
      <c r="A253" s="2">
        <v>45547</v>
      </c>
      <c r="B253">
        <v>7040</v>
      </c>
      <c r="C253">
        <v>4260</v>
      </c>
      <c r="D253">
        <f>=B253-C253</f>
      </c>
      <c r="E253">
        <v>9</v>
      </c>
    </row>
    <row r="254">
      <c r="A254" s="2">
        <v>45548</v>
      </c>
      <c r="B254">
        <v>7060</v>
      </c>
      <c r="C254">
        <v>4275</v>
      </c>
      <c r="D254">
        <f>=B254-C254</f>
      </c>
      <c r="E254">
        <v>9</v>
      </c>
    </row>
    <row r="255">
      <c r="A255" s="2">
        <v>45549</v>
      </c>
      <c r="B255">
        <v>7080</v>
      </c>
      <c r="C255">
        <v>4290</v>
      </c>
      <c r="D255">
        <f>=B255-C255</f>
      </c>
      <c r="E255">
        <v>9</v>
      </c>
    </row>
    <row r="256">
      <c r="A256" s="2">
        <v>45550</v>
      </c>
      <c r="B256">
        <v>7100</v>
      </c>
      <c r="C256">
        <v>4305</v>
      </c>
      <c r="D256">
        <f>=B256-C256</f>
      </c>
      <c r="E256">
        <v>9</v>
      </c>
    </row>
    <row r="257">
      <c r="A257" s="2">
        <v>45551</v>
      </c>
      <c r="B257">
        <v>7120</v>
      </c>
      <c r="C257">
        <v>4320</v>
      </c>
      <c r="D257">
        <f>=B257-C257</f>
      </c>
      <c r="E257">
        <v>9</v>
      </c>
    </row>
    <row r="258">
      <c r="A258" s="2">
        <v>45552</v>
      </c>
      <c r="B258">
        <v>7140</v>
      </c>
      <c r="C258">
        <v>4335</v>
      </c>
      <c r="D258">
        <f>=B258-C258</f>
      </c>
      <c r="E258">
        <v>9</v>
      </c>
    </row>
    <row r="259">
      <c r="A259" s="2">
        <v>45553</v>
      </c>
      <c r="B259">
        <v>7160</v>
      </c>
      <c r="C259">
        <v>4350</v>
      </c>
      <c r="D259">
        <f>=B259-C259</f>
      </c>
      <c r="E259">
        <v>9</v>
      </c>
    </row>
    <row r="260">
      <c r="A260" s="2">
        <v>45554</v>
      </c>
      <c r="B260">
        <v>7180</v>
      </c>
      <c r="C260">
        <v>4365</v>
      </c>
      <c r="D260">
        <f>=B260-C260</f>
      </c>
      <c r="E260">
        <v>9</v>
      </c>
    </row>
    <row r="261">
      <c r="A261" s="2">
        <v>45555</v>
      </c>
      <c r="B261">
        <v>7200</v>
      </c>
      <c r="C261">
        <v>4380</v>
      </c>
      <c r="D261">
        <f>=B261-C261</f>
      </c>
      <c r="E261">
        <v>9</v>
      </c>
    </row>
    <row r="262">
      <c r="A262" s="2">
        <v>45556</v>
      </c>
      <c r="B262">
        <v>7220</v>
      </c>
      <c r="C262">
        <v>4395</v>
      </c>
      <c r="D262">
        <f>=B262-C262</f>
      </c>
      <c r="E262">
        <v>9</v>
      </c>
    </row>
    <row r="263">
      <c r="A263" s="2">
        <v>45557</v>
      </c>
      <c r="B263">
        <v>7240</v>
      </c>
      <c r="C263">
        <v>4410</v>
      </c>
      <c r="D263">
        <f>=B263-C263</f>
      </c>
      <c r="E263">
        <v>9</v>
      </c>
    </row>
    <row r="264">
      <c r="A264" s="2">
        <v>45558</v>
      </c>
      <c r="B264">
        <v>7260</v>
      </c>
      <c r="C264">
        <v>4425</v>
      </c>
      <c r="D264">
        <f>=B264-C264</f>
      </c>
      <c r="E264">
        <v>9</v>
      </c>
    </row>
    <row r="265">
      <c r="A265" s="2">
        <v>45559</v>
      </c>
      <c r="B265">
        <v>7280</v>
      </c>
      <c r="C265">
        <v>4440</v>
      </c>
      <c r="D265">
        <f>=B265-C265</f>
      </c>
      <c r="E265">
        <v>9</v>
      </c>
    </row>
    <row r="266">
      <c r="A266" s="2">
        <v>45560</v>
      </c>
      <c r="B266">
        <v>7300</v>
      </c>
      <c r="C266">
        <v>4455</v>
      </c>
      <c r="D266">
        <f>=B266-C266</f>
      </c>
      <c r="E266">
        <v>9</v>
      </c>
    </row>
    <row r="267">
      <c r="A267" s="2">
        <v>45561</v>
      </c>
      <c r="B267">
        <v>7320</v>
      </c>
      <c r="C267">
        <v>4470</v>
      </c>
      <c r="D267">
        <f>=B267-C267</f>
      </c>
      <c r="E267">
        <v>9</v>
      </c>
    </row>
    <row r="268">
      <c r="A268" s="2">
        <v>45562</v>
      </c>
      <c r="B268">
        <v>7340</v>
      </c>
      <c r="C268">
        <v>4485</v>
      </c>
      <c r="D268">
        <f>=B268-C268</f>
      </c>
      <c r="E268">
        <v>9</v>
      </c>
    </row>
    <row r="269">
      <c r="A269" s="2">
        <v>45563</v>
      </c>
      <c r="B269">
        <v>7360</v>
      </c>
      <c r="C269">
        <v>4500</v>
      </c>
      <c r="D269">
        <f>=B269-C269</f>
      </c>
      <c r="E269">
        <v>9</v>
      </c>
    </row>
    <row r="270">
      <c r="A270" s="2">
        <v>45564</v>
      </c>
      <c r="B270">
        <v>7380</v>
      </c>
      <c r="C270">
        <v>4515</v>
      </c>
      <c r="D270">
        <f>=B270-C270</f>
      </c>
      <c r="E270">
        <v>9</v>
      </c>
    </row>
    <row r="271">
      <c r="A271" s="2">
        <v>45565</v>
      </c>
      <c r="B271">
        <v>7400</v>
      </c>
      <c r="C271">
        <v>4530</v>
      </c>
      <c r="D271">
        <f>=B271-C271</f>
      </c>
      <c r="E271">
        <v>9</v>
      </c>
    </row>
    <row r="272">
      <c r="A272" s="1">
        <v>45566</v>
      </c>
      <c r="B272">
        <v>7020</v>
      </c>
      <c r="C272">
        <v>4215</v>
      </c>
      <c r="D272">
        <f>=B272-C272</f>
      </c>
      <c r="E272">
        <v>10</v>
      </c>
    </row>
    <row r="273">
      <c r="A273" s="2">
        <v>45567</v>
      </c>
      <c r="B273">
        <v>7040</v>
      </c>
      <c r="C273">
        <v>4230</v>
      </c>
      <c r="D273">
        <f>=B273-C273</f>
      </c>
      <c r="E273">
        <v>10</v>
      </c>
    </row>
    <row r="274">
      <c r="A274" s="2">
        <v>45568</v>
      </c>
      <c r="B274">
        <v>7060</v>
      </c>
      <c r="C274">
        <v>4245</v>
      </c>
      <c r="D274">
        <f>=B274-C274</f>
      </c>
      <c r="E274">
        <v>10</v>
      </c>
    </row>
    <row r="275">
      <c r="A275" s="2">
        <v>45569</v>
      </c>
      <c r="B275">
        <v>7080</v>
      </c>
      <c r="C275">
        <v>4260</v>
      </c>
      <c r="D275">
        <f>=B275-C275</f>
      </c>
      <c r="E275">
        <v>10</v>
      </c>
    </row>
    <row r="276">
      <c r="A276" s="2">
        <v>45570</v>
      </c>
      <c r="B276">
        <v>7100</v>
      </c>
      <c r="C276">
        <v>4275</v>
      </c>
      <c r="D276">
        <f>=B276-C276</f>
      </c>
      <c r="E276">
        <v>10</v>
      </c>
    </row>
    <row r="277">
      <c r="A277" s="2">
        <v>45571</v>
      </c>
      <c r="B277">
        <v>7120</v>
      </c>
      <c r="C277">
        <v>4290</v>
      </c>
      <c r="D277">
        <f>=B277-C277</f>
      </c>
      <c r="E277">
        <v>10</v>
      </c>
    </row>
    <row r="278">
      <c r="A278" s="2">
        <v>45572</v>
      </c>
      <c r="B278">
        <v>7140</v>
      </c>
      <c r="C278">
        <v>4305</v>
      </c>
      <c r="D278">
        <f>=B278-C278</f>
      </c>
      <c r="E278">
        <v>10</v>
      </c>
    </row>
    <row r="279">
      <c r="A279" s="2">
        <v>45573</v>
      </c>
      <c r="B279">
        <v>7160</v>
      </c>
      <c r="C279">
        <v>4320</v>
      </c>
      <c r="D279">
        <f>=B279-C279</f>
      </c>
      <c r="E279">
        <v>10</v>
      </c>
    </row>
    <row r="280">
      <c r="A280" s="2">
        <v>45574</v>
      </c>
      <c r="B280">
        <v>7180</v>
      </c>
      <c r="C280">
        <v>4335</v>
      </c>
      <c r="D280">
        <f>=B280-C280</f>
      </c>
      <c r="E280">
        <v>10</v>
      </c>
    </row>
    <row r="281">
      <c r="A281" s="2">
        <v>45575</v>
      </c>
      <c r="B281">
        <v>7200</v>
      </c>
      <c r="C281">
        <v>4350</v>
      </c>
      <c r="D281">
        <f>=B281-C281</f>
      </c>
      <c r="E281">
        <v>10</v>
      </c>
    </row>
    <row r="282">
      <c r="A282" s="2">
        <v>45576</v>
      </c>
      <c r="B282">
        <v>7220</v>
      </c>
      <c r="C282">
        <v>4365</v>
      </c>
      <c r="D282">
        <f>=B282-C282</f>
      </c>
      <c r="E282">
        <v>10</v>
      </c>
    </row>
    <row r="283">
      <c r="A283" s="2">
        <v>45577</v>
      </c>
      <c r="B283">
        <v>7240</v>
      </c>
      <c r="C283">
        <v>4380</v>
      </c>
      <c r="D283">
        <f>=B283-C283</f>
      </c>
      <c r="E283">
        <v>10</v>
      </c>
    </row>
    <row r="284">
      <c r="A284" s="2">
        <v>45578</v>
      </c>
      <c r="B284">
        <v>7260</v>
      </c>
      <c r="C284">
        <v>4395</v>
      </c>
      <c r="D284">
        <f>=B284-C284</f>
      </c>
      <c r="E284">
        <v>10</v>
      </c>
    </row>
    <row r="285">
      <c r="A285" s="2">
        <v>45579</v>
      </c>
      <c r="B285">
        <v>7280</v>
      </c>
      <c r="C285">
        <v>4410</v>
      </c>
      <c r="D285">
        <f>=B285-C285</f>
      </c>
      <c r="E285">
        <v>10</v>
      </c>
    </row>
    <row r="286">
      <c r="A286" s="2">
        <v>45580</v>
      </c>
      <c r="B286">
        <v>7300</v>
      </c>
      <c r="C286">
        <v>4425</v>
      </c>
      <c r="D286">
        <f>=B286-C286</f>
      </c>
      <c r="E286">
        <v>10</v>
      </c>
    </row>
    <row r="287">
      <c r="A287" s="2">
        <v>45581</v>
      </c>
      <c r="B287">
        <v>7320</v>
      </c>
      <c r="C287">
        <v>4440</v>
      </c>
      <c r="D287">
        <f>=B287-C287</f>
      </c>
      <c r="E287">
        <v>10</v>
      </c>
    </row>
    <row r="288">
      <c r="A288" s="2">
        <v>45582</v>
      </c>
      <c r="B288">
        <v>7340</v>
      </c>
      <c r="C288">
        <v>4455</v>
      </c>
      <c r="D288">
        <f>=B288-C288</f>
      </c>
      <c r="E288">
        <v>10</v>
      </c>
    </row>
    <row r="289">
      <c r="A289" s="2">
        <v>45583</v>
      </c>
      <c r="B289">
        <v>7360</v>
      </c>
      <c r="C289">
        <v>4470</v>
      </c>
      <c r="D289">
        <f>=B289-C289</f>
      </c>
      <c r="E289">
        <v>10</v>
      </c>
    </row>
    <row r="290">
      <c r="A290" s="2">
        <v>45584</v>
      </c>
      <c r="B290">
        <v>7380</v>
      </c>
      <c r="C290">
        <v>4485</v>
      </c>
      <c r="D290">
        <f>=B290-C290</f>
      </c>
      <c r="E290">
        <v>10</v>
      </c>
    </row>
    <row r="291">
      <c r="A291" s="2">
        <v>45585</v>
      </c>
      <c r="B291">
        <v>7400</v>
      </c>
      <c r="C291">
        <v>4500</v>
      </c>
      <c r="D291">
        <f>=B291-C291</f>
      </c>
      <c r="E291">
        <v>10</v>
      </c>
    </row>
    <row r="292">
      <c r="A292" s="2">
        <v>45586</v>
      </c>
      <c r="B292">
        <v>7420</v>
      </c>
      <c r="C292">
        <v>4515</v>
      </c>
      <c r="D292">
        <f>=B292-C292</f>
      </c>
      <c r="E292">
        <v>10</v>
      </c>
    </row>
    <row r="293">
      <c r="A293" s="2">
        <v>45587</v>
      </c>
      <c r="B293">
        <v>7440</v>
      </c>
      <c r="C293">
        <v>4530</v>
      </c>
      <c r="D293">
        <f>=B293-C293</f>
      </c>
      <c r="E293">
        <v>10</v>
      </c>
    </row>
    <row r="294">
      <c r="A294" s="2">
        <v>45588</v>
      </c>
      <c r="B294">
        <v>7460</v>
      </c>
      <c r="C294">
        <v>4545</v>
      </c>
      <c r="D294">
        <f>=B294-C294</f>
      </c>
      <c r="E294">
        <v>10</v>
      </c>
    </row>
    <row r="295">
      <c r="A295" s="2">
        <v>45589</v>
      </c>
      <c r="B295">
        <v>7480</v>
      </c>
      <c r="C295">
        <v>4560</v>
      </c>
      <c r="D295">
        <f>=B295-C295</f>
      </c>
      <c r="E295">
        <v>10</v>
      </c>
    </row>
    <row r="296">
      <c r="A296" s="2">
        <v>45590</v>
      </c>
      <c r="B296">
        <v>7500</v>
      </c>
      <c r="C296">
        <v>4575</v>
      </c>
      <c r="D296">
        <f>=B296-C296</f>
      </c>
      <c r="E296">
        <v>10</v>
      </c>
    </row>
    <row r="297">
      <c r="A297" s="2">
        <v>45591</v>
      </c>
      <c r="B297">
        <v>7520</v>
      </c>
      <c r="C297">
        <v>4590</v>
      </c>
      <c r="D297">
        <f>=B297-C297</f>
      </c>
      <c r="E297">
        <v>10</v>
      </c>
    </row>
    <row r="298">
      <c r="A298" s="2">
        <v>45592</v>
      </c>
      <c r="B298">
        <v>7540</v>
      </c>
      <c r="C298">
        <v>4605</v>
      </c>
      <c r="D298">
        <f>=B298-C298</f>
      </c>
      <c r="E298">
        <v>10</v>
      </c>
    </row>
    <row r="299">
      <c r="A299" s="2">
        <v>45593</v>
      </c>
      <c r="B299">
        <v>7560</v>
      </c>
      <c r="C299">
        <v>4620</v>
      </c>
      <c r="D299">
        <f>=B299-C299</f>
      </c>
      <c r="E299">
        <v>10</v>
      </c>
    </row>
    <row r="300">
      <c r="A300" s="2">
        <v>45594</v>
      </c>
      <c r="B300">
        <v>7580</v>
      </c>
      <c r="C300">
        <v>4635</v>
      </c>
      <c r="D300">
        <f>=B300-C300</f>
      </c>
      <c r="E300">
        <v>10</v>
      </c>
    </row>
    <row r="301">
      <c r="A301" s="2">
        <v>45595</v>
      </c>
      <c r="B301">
        <v>7600</v>
      </c>
      <c r="C301">
        <v>4650</v>
      </c>
      <c r="D301">
        <f>=B301-C301</f>
      </c>
      <c r="E301">
        <v>10</v>
      </c>
    </row>
    <row r="302">
      <c r="A302" s="1">
        <v>45597</v>
      </c>
      <c r="B302">
        <v>7220</v>
      </c>
      <c r="C302">
        <v>4335</v>
      </c>
      <c r="D302">
        <f>=B302-C302</f>
      </c>
      <c r="E302">
        <v>11</v>
      </c>
    </row>
    <row r="303">
      <c r="A303" s="2">
        <v>45598</v>
      </c>
      <c r="B303">
        <v>7240</v>
      </c>
      <c r="C303">
        <v>4350</v>
      </c>
      <c r="D303">
        <f>=B303-C303</f>
      </c>
      <c r="E303">
        <v>11</v>
      </c>
    </row>
    <row r="304">
      <c r="A304" s="2">
        <v>45599</v>
      </c>
      <c r="B304">
        <v>7260</v>
      </c>
      <c r="C304">
        <v>4365</v>
      </c>
      <c r="D304">
        <f>=B304-C304</f>
      </c>
      <c r="E304">
        <v>11</v>
      </c>
    </row>
    <row r="305">
      <c r="A305" s="2">
        <v>45600</v>
      </c>
      <c r="B305">
        <v>7280</v>
      </c>
      <c r="C305">
        <v>4380</v>
      </c>
      <c r="D305">
        <f>=B305-C305</f>
      </c>
      <c r="E305">
        <v>11</v>
      </c>
    </row>
    <row r="306">
      <c r="A306" s="2">
        <v>45601</v>
      </c>
      <c r="B306">
        <v>7300</v>
      </c>
      <c r="C306">
        <v>4395</v>
      </c>
      <c r="D306">
        <f>=B306-C306</f>
      </c>
      <c r="E306">
        <v>11</v>
      </c>
    </row>
    <row r="307">
      <c r="A307" s="2">
        <v>45602</v>
      </c>
      <c r="B307">
        <v>7320</v>
      </c>
      <c r="C307">
        <v>4410</v>
      </c>
      <c r="D307">
        <f>=B307-C307</f>
      </c>
      <c r="E307">
        <v>11</v>
      </c>
    </row>
    <row r="308">
      <c r="A308" s="2">
        <v>45603</v>
      </c>
      <c r="B308">
        <v>7340</v>
      </c>
      <c r="C308">
        <v>4425</v>
      </c>
      <c r="D308">
        <f>=B308-C308</f>
      </c>
      <c r="E308">
        <v>11</v>
      </c>
    </row>
    <row r="309">
      <c r="A309" s="2">
        <v>45604</v>
      </c>
      <c r="B309">
        <v>7360</v>
      </c>
      <c r="C309">
        <v>4440</v>
      </c>
      <c r="D309">
        <f>=B309-C309</f>
      </c>
      <c r="E309">
        <v>11</v>
      </c>
    </row>
    <row r="310">
      <c r="A310" s="2">
        <v>45605</v>
      </c>
      <c r="B310">
        <v>7380</v>
      </c>
      <c r="C310">
        <v>4455</v>
      </c>
      <c r="D310">
        <f>=B310-C310</f>
      </c>
      <c r="E310">
        <v>11</v>
      </c>
    </row>
    <row r="311">
      <c r="A311" s="2">
        <v>45606</v>
      </c>
      <c r="B311">
        <v>7400</v>
      </c>
      <c r="C311">
        <v>4470</v>
      </c>
      <c r="D311">
        <f>=B311-C311</f>
      </c>
      <c r="E311">
        <v>11</v>
      </c>
    </row>
    <row r="312">
      <c r="A312" s="2">
        <v>45607</v>
      </c>
      <c r="B312">
        <v>7420</v>
      </c>
      <c r="C312">
        <v>4485</v>
      </c>
      <c r="D312">
        <f>=B312-C312</f>
      </c>
      <c r="E312">
        <v>11</v>
      </c>
    </row>
    <row r="313">
      <c r="A313" s="2">
        <v>45608</v>
      </c>
      <c r="B313">
        <v>7440</v>
      </c>
      <c r="C313">
        <v>4500</v>
      </c>
      <c r="D313">
        <f>=B313-C313</f>
      </c>
      <c r="E313">
        <v>11</v>
      </c>
    </row>
    <row r="314">
      <c r="A314" s="2">
        <v>45609</v>
      </c>
      <c r="B314">
        <v>7460</v>
      </c>
      <c r="C314">
        <v>4515</v>
      </c>
      <c r="D314">
        <f>=B314-C314</f>
      </c>
      <c r="E314">
        <v>11</v>
      </c>
    </row>
    <row r="315">
      <c r="A315" s="2">
        <v>45610</v>
      </c>
      <c r="B315">
        <v>7480</v>
      </c>
      <c r="C315">
        <v>4530</v>
      </c>
      <c r="D315">
        <f>=B315-C315</f>
      </c>
      <c r="E315">
        <v>11</v>
      </c>
    </row>
    <row r="316">
      <c r="A316" s="2">
        <v>45611</v>
      </c>
      <c r="B316">
        <v>7500</v>
      </c>
      <c r="C316">
        <v>4545</v>
      </c>
      <c r="D316">
        <f>=B316-C316</f>
      </c>
      <c r="E316">
        <v>11</v>
      </c>
    </row>
    <row r="317">
      <c r="A317" s="2">
        <v>45612</v>
      </c>
      <c r="B317">
        <v>7520</v>
      </c>
      <c r="C317">
        <v>4560</v>
      </c>
      <c r="D317">
        <f>=B317-C317</f>
      </c>
      <c r="E317">
        <v>11</v>
      </c>
    </row>
    <row r="318">
      <c r="A318" s="2">
        <v>45613</v>
      </c>
      <c r="B318">
        <v>7540</v>
      </c>
      <c r="C318">
        <v>4575</v>
      </c>
      <c r="D318">
        <f>=B318-C318</f>
      </c>
      <c r="E318">
        <v>11</v>
      </c>
    </row>
    <row r="319">
      <c r="A319" s="2">
        <v>45614</v>
      </c>
      <c r="B319">
        <v>7560</v>
      </c>
      <c r="C319">
        <v>4590</v>
      </c>
      <c r="D319">
        <f>=B319-C319</f>
      </c>
      <c r="E319">
        <v>11</v>
      </c>
    </row>
    <row r="320">
      <c r="A320" s="2">
        <v>45615</v>
      </c>
      <c r="B320">
        <v>7580</v>
      </c>
      <c r="C320">
        <v>4605</v>
      </c>
      <c r="D320">
        <f>=B320-C320</f>
      </c>
      <c r="E320">
        <v>11</v>
      </c>
    </row>
    <row r="321">
      <c r="A321" s="2">
        <v>45616</v>
      </c>
      <c r="B321">
        <v>7600</v>
      </c>
      <c r="C321">
        <v>4620</v>
      </c>
      <c r="D321">
        <f>=B321-C321</f>
      </c>
      <c r="E321">
        <v>11</v>
      </c>
    </row>
    <row r="322">
      <c r="A322" s="2">
        <v>45617</v>
      </c>
      <c r="B322">
        <v>7620</v>
      </c>
      <c r="C322">
        <v>4635</v>
      </c>
      <c r="D322">
        <f>=B322-C322</f>
      </c>
      <c r="E322">
        <v>11</v>
      </c>
    </row>
    <row r="323">
      <c r="A323" s="2">
        <v>45618</v>
      </c>
      <c r="B323">
        <v>7640</v>
      </c>
      <c r="C323">
        <v>4650</v>
      </c>
      <c r="D323">
        <f>=B323-C323</f>
      </c>
      <c r="E323">
        <v>11</v>
      </c>
    </row>
    <row r="324">
      <c r="A324" s="2">
        <v>45619</v>
      </c>
      <c r="B324">
        <v>7660</v>
      </c>
      <c r="C324">
        <v>4665</v>
      </c>
      <c r="D324">
        <f>=B324-C324</f>
      </c>
      <c r="E324">
        <v>11</v>
      </c>
    </row>
    <row r="325">
      <c r="A325" s="2">
        <v>45620</v>
      </c>
      <c r="B325">
        <v>7680</v>
      </c>
      <c r="C325">
        <v>4680</v>
      </c>
      <c r="D325">
        <f>=B325-C325</f>
      </c>
      <c r="E325">
        <v>11</v>
      </c>
    </row>
    <row r="326">
      <c r="A326" s="2">
        <v>45621</v>
      </c>
      <c r="B326">
        <v>7700</v>
      </c>
      <c r="C326">
        <v>4695</v>
      </c>
      <c r="D326">
        <f>=B326-C326</f>
      </c>
      <c r="E326">
        <v>11</v>
      </c>
    </row>
    <row r="327">
      <c r="A327" s="2">
        <v>45622</v>
      </c>
      <c r="B327">
        <v>7720</v>
      </c>
      <c r="C327">
        <v>4710</v>
      </c>
      <c r="D327">
        <f>=B327-C327</f>
      </c>
      <c r="E327">
        <v>11</v>
      </c>
    </row>
    <row r="328">
      <c r="A328" s="2">
        <v>45623</v>
      </c>
      <c r="B328">
        <v>7740</v>
      </c>
      <c r="C328">
        <v>4725</v>
      </c>
      <c r="D328">
        <f>=B328-C328</f>
      </c>
      <c r="E328">
        <v>11</v>
      </c>
    </row>
    <row r="329">
      <c r="A329" s="2">
        <v>45624</v>
      </c>
      <c r="B329">
        <v>7760</v>
      </c>
      <c r="C329">
        <v>4740</v>
      </c>
      <c r="D329">
        <f>=B329-C329</f>
      </c>
      <c r="E329">
        <v>11</v>
      </c>
    </row>
    <row r="330">
      <c r="A330" s="2">
        <v>45625</v>
      </c>
      <c r="B330">
        <v>7780</v>
      </c>
      <c r="C330">
        <v>4755</v>
      </c>
      <c r="D330">
        <f>=B330-C330</f>
      </c>
      <c r="E330">
        <v>11</v>
      </c>
    </row>
    <row r="331">
      <c r="A331" s="2">
        <v>45626</v>
      </c>
      <c r="B331">
        <v>7800</v>
      </c>
      <c r="C331">
        <v>4770</v>
      </c>
      <c r="D331">
        <f>=B331-C331</f>
      </c>
      <c r="E331">
        <v>11</v>
      </c>
    </row>
    <row r="332">
      <c r="A332" s="1">
        <v>45627</v>
      </c>
      <c r="B332">
        <v>7420</v>
      </c>
      <c r="C332">
        <v>4455</v>
      </c>
      <c r="D332">
        <f>=B332-C332</f>
      </c>
      <c r="E332">
        <v>12</v>
      </c>
    </row>
    <row r="333">
      <c r="A333" s="2">
        <v>45628</v>
      </c>
      <c r="B333">
        <v>7440</v>
      </c>
      <c r="C333">
        <v>4470</v>
      </c>
      <c r="D333">
        <f>=B333-C333</f>
      </c>
      <c r="E333">
        <v>12</v>
      </c>
    </row>
    <row r="334">
      <c r="A334" s="2">
        <v>45629</v>
      </c>
      <c r="B334">
        <v>7460</v>
      </c>
      <c r="C334">
        <v>4485</v>
      </c>
      <c r="D334">
        <f>=B334-C334</f>
      </c>
      <c r="E334">
        <v>12</v>
      </c>
    </row>
    <row r="335">
      <c r="A335" s="2">
        <v>45630</v>
      </c>
      <c r="B335">
        <v>7480</v>
      </c>
      <c r="C335">
        <v>4500</v>
      </c>
      <c r="D335">
        <f>=B335-C335</f>
      </c>
      <c r="E335">
        <v>12</v>
      </c>
    </row>
    <row r="336">
      <c r="A336" s="2">
        <v>45631</v>
      </c>
      <c r="B336">
        <v>7500</v>
      </c>
      <c r="C336">
        <v>4515</v>
      </c>
      <c r="D336">
        <f>=B336-C336</f>
      </c>
      <c r="E336">
        <v>12</v>
      </c>
    </row>
    <row r="337">
      <c r="A337" s="2">
        <v>45632</v>
      </c>
      <c r="B337">
        <v>7520</v>
      </c>
      <c r="C337">
        <v>4530</v>
      </c>
      <c r="D337">
        <f>=B337-C337</f>
      </c>
      <c r="E337">
        <v>12</v>
      </c>
    </row>
    <row r="338">
      <c r="A338" s="2">
        <v>45633</v>
      </c>
      <c r="B338">
        <v>7540</v>
      </c>
      <c r="C338">
        <v>4545</v>
      </c>
      <c r="D338">
        <f>=B338-C338</f>
      </c>
      <c r="E338">
        <v>12</v>
      </c>
    </row>
    <row r="339">
      <c r="A339" s="2">
        <v>45634</v>
      </c>
      <c r="B339">
        <v>7560</v>
      </c>
      <c r="C339">
        <v>4560</v>
      </c>
      <c r="D339">
        <f>=B339-C339</f>
      </c>
      <c r="E339">
        <v>12</v>
      </c>
    </row>
    <row r="340">
      <c r="A340" s="2">
        <v>45635</v>
      </c>
      <c r="B340">
        <v>7580</v>
      </c>
      <c r="C340">
        <v>4575</v>
      </c>
      <c r="D340">
        <f>=B340-C340</f>
      </c>
      <c r="E340">
        <v>12</v>
      </c>
    </row>
    <row r="341">
      <c r="A341" s="2">
        <v>45636</v>
      </c>
      <c r="B341">
        <v>7600</v>
      </c>
      <c r="C341">
        <v>4590</v>
      </c>
      <c r="D341">
        <f>=B341-C341</f>
      </c>
      <c r="E341">
        <v>12</v>
      </c>
    </row>
    <row r="342">
      <c r="A342" s="2">
        <v>45637</v>
      </c>
      <c r="B342">
        <v>7620</v>
      </c>
      <c r="C342">
        <v>4605</v>
      </c>
      <c r="D342">
        <f>=B342-C342</f>
      </c>
      <c r="E342">
        <v>12</v>
      </c>
    </row>
    <row r="343">
      <c r="A343" s="2">
        <v>45638</v>
      </c>
      <c r="B343">
        <v>7640</v>
      </c>
      <c r="C343">
        <v>4620</v>
      </c>
      <c r="D343">
        <f>=B343-C343</f>
      </c>
      <c r="E343">
        <v>12</v>
      </c>
    </row>
    <row r="344">
      <c r="A344" s="2">
        <v>45639</v>
      </c>
      <c r="B344">
        <v>7660</v>
      </c>
      <c r="C344">
        <v>4635</v>
      </c>
      <c r="D344">
        <f>=B344-C344</f>
      </c>
      <c r="E344">
        <v>12</v>
      </c>
    </row>
    <row r="345">
      <c r="A345" s="2">
        <v>45640</v>
      </c>
      <c r="B345">
        <v>7680</v>
      </c>
      <c r="C345">
        <v>4650</v>
      </c>
      <c r="D345">
        <f>=B345-C345</f>
      </c>
      <c r="E345">
        <v>12</v>
      </c>
    </row>
    <row r="346">
      <c r="A346" s="2">
        <v>45641</v>
      </c>
      <c r="B346">
        <v>7700</v>
      </c>
      <c r="C346">
        <v>4665</v>
      </c>
      <c r="D346">
        <f>=B346-C346</f>
      </c>
      <c r="E346">
        <v>12</v>
      </c>
    </row>
    <row r="347">
      <c r="A347" s="2">
        <v>45642</v>
      </c>
      <c r="B347">
        <v>7720</v>
      </c>
      <c r="C347">
        <v>4680</v>
      </c>
      <c r="D347">
        <f>=B347-C347</f>
      </c>
      <c r="E347">
        <v>12</v>
      </c>
    </row>
    <row r="348">
      <c r="A348" s="2">
        <v>45643</v>
      </c>
      <c r="B348">
        <v>7740</v>
      </c>
      <c r="C348">
        <v>4695</v>
      </c>
      <c r="D348">
        <f>=B348-C348</f>
      </c>
      <c r="E348">
        <v>12</v>
      </c>
    </row>
    <row r="349">
      <c r="A349" s="2">
        <v>45644</v>
      </c>
      <c r="B349">
        <v>7760</v>
      </c>
      <c r="C349">
        <v>4710</v>
      </c>
      <c r="D349">
        <f>=B349-C349</f>
      </c>
      <c r="E349">
        <v>12</v>
      </c>
    </row>
    <row r="350">
      <c r="A350" s="2">
        <v>45645</v>
      </c>
      <c r="B350">
        <v>7780</v>
      </c>
      <c r="C350">
        <v>4725</v>
      </c>
      <c r="D350">
        <f>=B350-C350</f>
      </c>
      <c r="E350">
        <v>12</v>
      </c>
    </row>
    <row r="351">
      <c r="A351" s="2">
        <v>45646</v>
      </c>
      <c r="B351">
        <v>7800</v>
      </c>
      <c r="C351">
        <v>4740</v>
      </c>
      <c r="D351">
        <f>=B351-C351</f>
      </c>
      <c r="E351">
        <v>12</v>
      </c>
    </row>
    <row r="352">
      <c r="A352" s="2">
        <v>45647</v>
      </c>
      <c r="B352">
        <v>7820</v>
      </c>
      <c r="C352">
        <v>4755</v>
      </c>
      <c r="D352">
        <f>=B352-C352</f>
      </c>
      <c r="E352">
        <v>12</v>
      </c>
    </row>
    <row r="353">
      <c r="A353" s="2">
        <v>45648</v>
      </c>
      <c r="B353">
        <v>7840</v>
      </c>
      <c r="C353">
        <v>4770</v>
      </c>
      <c r="D353">
        <f>=B353-C353</f>
      </c>
      <c r="E353">
        <v>12</v>
      </c>
    </row>
    <row r="354">
      <c r="A354" s="2">
        <v>45649</v>
      </c>
      <c r="B354">
        <v>7860</v>
      </c>
      <c r="C354">
        <v>4785</v>
      </c>
      <c r="D354">
        <f>=B354-C354</f>
      </c>
      <c r="E354">
        <v>12</v>
      </c>
    </row>
    <row r="355">
      <c r="A355" s="2">
        <v>45650</v>
      </c>
      <c r="B355">
        <v>7880</v>
      </c>
      <c r="C355">
        <v>4800</v>
      </c>
      <c r="D355">
        <f>=B355-C355</f>
      </c>
      <c r="E355">
        <v>12</v>
      </c>
    </row>
    <row r="356">
      <c r="A356" s="2">
        <v>45651</v>
      </c>
      <c r="B356">
        <v>7900</v>
      </c>
      <c r="C356">
        <v>4815</v>
      </c>
      <c r="D356">
        <f>=B356-C356</f>
      </c>
      <c r="E356">
        <v>12</v>
      </c>
    </row>
    <row r="357">
      <c r="A357" s="2">
        <v>45652</v>
      </c>
      <c r="B357">
        <v>7920</v>
      </c>
      <c r="C357">
        <v>4830</v>
      </c>
      <c r="D357">
        <f>=B357-C357</f>
      </c>
      <c r="E357">
        <v>12</v>
      </c>
    </row>
    <row r="358">
      <c r="A358" s="2">
        <v>45653</v>
      </c>
      <c r="B358">
        <v>7940</v>
      </c>
      <c r="C358">
        <v>4845</v>
      </c>
      <c r="D358">
        <f>=B358-C358</f>
      </c>
      <c r="E358">
        <v>12</v>
      </c>
    </row>
    <row r="359">
      <c r="A359" s="2">
        <v>45654</v>
      </c>
      <c r="B359">
        <v>7960</v>
      </c>
      <c r="C359">
        <v>4860</v>
      </c>
      <c r="D359">
        <f>=B359-C359</f>
      </c>
      <c r="E359">
        <v>12</v>
      </c>
    </row>
    <row r="360">
      <c r="A360" s="2">
        <v>45655</v>
      </c>
      <c r="B360">
        <v>7980</v>
      </c>
      <c r="C360">
        <v>4875</v>
      </c>
      <c r="D360">
        <f>=B360-C360</f>
      </c>
      <c r="E360">
        <v>12</v>
      </c>
    </row>
    <row r="361">
      <c r="A361" s="2">
        <v>45656</v>
      </c>
      <c r="B361">
        <v>8000</v>
      </c>
      <c r="C361">
        <v>4890</v>
      </c>
      <c r="D361">
        <f>=B361-C361</f>
      </c>
      <c r="E361">
        <v>12</v>
      </c>
    </row>
  </sheetData>
</worksheet>
</file>

<file path=xl/worksheets/sheet4.xml><?xml version="1.0" encoding="utf-8"?>
<worksheet xmlns="http://schemas.openxmlformats.org/spreadsheetml/2006/main">
  <dimension ref="A1"/>
  <sheetViews>
    <sheetView workbookViewId="0"/>
  </sheetViews>
  <sheetData>
    <row r="1">
      <c r="A1" t="s">
        <v>65</v>
      </c>
      <c r="B1" t="s">
        <v>66</v>
      </c>
      <c r="C1" t="s">
        <v>67</v>
      </c>
      <c r="D1" t="s">
        <v>68</v>
      </c>
      <c r="E1" t="s">
        <v>69</v>
      </c>
      <c r="F1" t="s">
        <v>70</v>
      </c>
      <c r="G1" t="s">
        <v>71</v>
      </c>
      <c r="H1" t="s">
        <v>72</v>
      </c>
      <c r="I1" t="s">
        <v>73</v>
      </c>
      <c r="J1" t="s">
        <v>74</v>
      </c>
      <c r="K1" t="s">
        <v>75</v>
      </c>
      <c r="L1" t="s">
        <v>76</v>
      </c>
      <c r="M1" t="s">
        <v>77</v>
      </c>
      <c r="N1" t="s">
        <v>78</v>
      </c>
      <c r="O1" t="s">
        <v>79</v>
      </c>
      <c r="P1" t="s">
        <v>80</v>
      </c>
      <c r="Q1" t="s">
        <v>81</v>
      </c>
      <c r="R1" t="s">
        <v>82</v>
      </c>
      <c r="S1" t="s">
        <v>83</v>
      </c>
      <c r="T1" t="s">
        <v>84</v>
      </c>
      <c r="U1" t="s">
        <v>85</v>
      </c>
      <c r="V1" t="s">
        <v>86</v>
      </c>
      <c r="W1" t="s">
        <v>87</v>
      </c>
      <c r="X1" t="s">
        <v>88</v>
      </c>
      <c r="Y1" t="s">
        <v>89</v>
      </c>
      <c r="Z1" t="s">
        <v>90</v>
      </c>
      <c r="AA1" t="s">
        <v>91</v>
      </c>
      <c r="AB1" t="s">
        <v>92</v>
      </c>
      <c r="AC1" t="s">
        <v>93</v>
      </c>
      <c r="AD1" t="s">
        <v>94</v>
      </c>
      <c r="AE1" t="s">
        <v>95</v>
      </c>
      <c r="AF1" t="s">
        <v>96</v>
      </c>
      <c r="AG1" t="s">
        <v>97</v>
      </c>
      <c r="AH1" t="s">
        <v>98</v>
      </c>
    </row>
    <row r="2">
      <c r="A2" t="s">
        <v>99</v>
      </c>
      <c r="B2" t="s">
        <v>100</v>
      </c>
      <c r="C2" t="s">
        <v>101</v>
      </c>
      <c r="D2" t="s">
        <v>101</v>
      </c>
      <c r="E2" t="s">
        <v>101</v>
      </c>
      <c r="F2" t="s">
        <v>101</v>
      </c>
      <c r="G2" t="s">
        <v>101</v>
      </c>
      <c r="H2" t="s">
        <v>101</v>
      </c>
      <c r="I2" t="s">
        <v>100</v>
      </c>
      <c r="J2" t="s">
        <v>101</v>
      </c>
      <c r="K2" t="s">
        <v>101</v>
      </c>
      <c r="L2" t="s">
        <v>101</v>
      </c>
      <c r="M2" t="s">
        <v>101</v>
      </c>
      <c r="N2" t="s">
        <v>101</v>
      </c>
      <c r="O2" t="s">
        <v>101</v>
      </c>
      <c r="P2" t="s">
        <v>100</v>
      </c>
      <c r="Q2" t="s">
        <v>101</v>
      </c>
      <c r="R2" t="s">
        <v>101</v>
      </c>
      <c r="S2" t="s">
        <v>101</v>
      </c>
      <c r="T2" t="s">
        <v>101</v>
      </c>
      <c r="U2" t="s">
        <v>101</v>
      </c>
      <c r="V2" t="s">
        <v>101</v>
      </c>
      <c r="W2" t="s">
        <v>100</v>
      </c>
      <c r="X2" t="s">
        <v>101</v>
      </c>
      <c r="Y2" t="s">
        <v>101</v>
      </c>
      <c r="Z2" t="s">
        <v>101</v>
      </c>
      <c r="AA2" t="s">
        <v>101</v>
      </c>
      <c r="AB2" t="s">
        <v>101</v>
      </c>
      <c r="AC2" t="s">
        <v>101</v>
      </c>
      <c r="AD2" t="s">
        <v>100</v>
      </c>
      <c r="AE2" t="s">
        <v>101</v>
      </c>
      <c r="AF2" t="s">
        <v>101</v>
      </c>
      <c r="AG2">
        <f>=COUNTIF(B2:AF2,"√")</f>
      </c>
      <c r="AH2">
        <f>=IF(AG2&gt;=30,500,0)</f>
      </c>
    </row>
    <row r="3">
      <c r="A3" t="s">
        <v>102</v>
      </c>
      <c r="B3" t="s">
        <v>101</v>
      </c>
      <c r="C3" t="s">
        <v>101</v>
      </c>
      <c r="D3" t="s">
        <v>101</v>
      </c>
      <c r="E3" t="s">
        <v>101</v>
      </c>
      <c r="F3" t="s">
        <v>101</v>
      </c>
      <c r="G3" t="s">
        <v>101</v>
      </c>
      <c r="H3" t="s">
        <v>100</v>
      </c>
      <c r="I3" t="s">
        <v>101</v>
      </c>
      <c r="J3" t="s">
        <v>101</v>
      </c>
      <c r="K3" t="s">
        <v>101</v>
      </c>
      <c r="L3" t="s">
        <v>101</v>
      </c>
      <c r="M3" t="s">
        <v>101</v>
      </c>
      <c r="N3" t="s">
        <v>101</v>
      </c>
      <c r="O3" t="s">
        <v>100</v>
      </c>
      <c r="P3" t="s">
        <v>101</v>
      </c>
      <c r="Q3" t="s">
        <v>101</v>
      </c>
      <c r="R3" t="s">
        <v>101</v>
      </c>
      <c r="S3" t="s">
        <v>101</v>
      </c>
      <c r="T3" t="s">
        <v>101</v>
      </c>
      <c r="U3" t="s">
        <v>101</v>
      </c>
      <c r="V3" t="s">
        <v>100</v>
      </c>
      <c r="W3" t="s">
        <v>101</v>
      </c>
      <c r="X3" t="s">
        <v>101</v>
      </c>
      <c r="Y3" t="s">
        <v>101</v>
      </c>
      <c r="Z3" t="s">
        <v>101</v>
      </c>
      <c r="AA3" t="s">
        <v>101</v>
      </c>
      <c r="AB3" t="s">
        <v>101</v>
      </c>
      <c r="AC3" t="s">
        <v>100</v>
      </c>
      <c r="AD3" t="s">
        <v>101</v>
      </c>
      <c r="AE3" t="s">
        <v>101</v>
      </c>
      <c r="AF3" t="s">
        <v>101</v>
      </c>
      <c r="AG3">
        <f>=COUNTIF(B3:AF3,"√")</f>
      </c>
      <c r="AH3">
        <f>=IF(AG3&gt;=30,500,0)</f>
      </c>
    </row>
    <row r="4">
      <c r="A4" t="s">
        <v>103</v>
      </c>
      <c r="B4" t="s">
        <v>101</v>
      </c>
      <c r="C4" t="s">
        <v>101</v>
      </c>
      <c r="D4" t="s">
        <v>101</v>
      </c>
      <c r="E4" t="s">
        <v>101</v>
      </c>
      <c r="F4" t="s">
        <v>101</v>
      </c>
      <c r="G4" t="s">
        <v>100</v>
      </c>
      <c r="H4" t="s">
        <v>101</v>
      </c>
      <c r="I4" t="s">
        <v>101</v>
      </c>
      <c r="J4" t="s">
        <v>101</v>
      </c>
      <c r="K4" t="s">
        <v>101</v>
      </c>
      <c r="L4" t="s">
        <v>101</v>
      </c>
      <c r="M4" t="s">
        <v>101</v>
      </c>
      <c r="N4" t="s">
        <v>100</v>
      </c>
      <c r="O4" t="s">
        <v>101</v>
      </c>
      <c r="P4" t="s">
        <v>101</v>
      </c>
      <c r="Q4" t="s">
        <v>101</v>
      </c>
      <c r="R4" t="s">
        <v>101</v>
      </c>
      <c r="S4" t="s">
        <v>101</v>
      </c>
      <c r="T4" t="s">
        <v>101</v>
      </c>
      <c r="U4" t="s">
        <v>100</v>
      </c>
      <c r="V4" t="s">
        <v>101</v>
      </c>
      <c r="W4" t="s">
        <v>101</v>
      </c>
      <c r="X4" t="s">
        <v>101</v>
      </c>
      <c r="Y4" t="s">
        <v>101</v>
      </c>
      <c r="Z4" t="s">
        <v>101</v>
      </c>
      <c r="AA4" t="s">
        <v>101</v>
      </c>
      <c r="AB4" t="s">
        <v>100</v>
      </c>
      <c r="AC4" t="s">
        <v>101</v>
      </c>
      <c r="AD4" t="s">
        <v>101</v>
      </c>
      <c r="AE4" t="s">
        <v>101</v>
      </c>
      <c r="AF4" t="s">
        <v>101</v>
      </c>
      <c r="AG4">
        <f>=COUNTIF(B4:AF4,"√")</f>
      </c>
      <c r="AH4">
        <f>=IF(AG4&gt;=30,500,0)</f>
      </c>
    </row>
    <row r="5">
      <c r="A5" t="s">
        <v>104</v>
      </c>
      <c r="B5" t="s">
        <v>101</v>
      </c>
      <c r="C5" t="s">
        <v>101</v>
      </c>
      <c r="D5" t="s">
        <v>101</v>
      </c>
      <c r="E5" t="s">
        <v>101</v>
      </c>
      <c r="F5" t="s">
        <v>100</v>
      </c>
      <c r="G5" t="s">
        <v>101</v>
      </c>
      <c r="H5" t="s">
        <v>101</v>
      </c>
      <c r="I5" t="s">
        <v>101</v>
      </c>
      <c r="J5" t="s">
        <v>101</v>
      </c>
      <c r="K5" t="s">
        <v>101</v>
      </c>
      <c r="L5" t="s">
        <v>101</v>
      </c>
      <c r="M5" t="s">
        <v>100</v>
      </c>
      <c r="N5" t="s">
        <v>101</v>
      </c>
      <c r="O5" t="s">
        <v>101</v>
      </c>
      <c r="P5" t="s">
        <v>101</v>
      </c>
      <c r="Q5" t="s">
        <v>101</v>
      </c>
      <c r="R5" t="s">
        <v>101</v>
      </c>
      <c r="S5" t="s">
        <v>101</v>
      </c>
      <c r="T5" t="s">
        <v>100</v>
      </c>
      <c r="U5" t="s">
        <v>101</v>
      </c>
      <c r="V5" t="s">
        <v>101</v>
      </c>
      <c r="W5" t="s">
        <v>101</v>
      </c>
      <c r="X5" t="s">
        <v>101</v>
      </c>
      <c r="Y5" t="s">
        <v>101</v>
      </c>
      <c r="Z5" t="s">
        <v>101</v>
      </c>
      <c r="AA5" t="s">
        <v>100</v>
      </c>
      <c r="AB5" t="s">
        <v>101</v>
      </c>
      <c r="AC5" t="s">
        <v>101</v>
      </c>
      <c r="AD5" t="s">
        <v>101</v>
      </c>
      <c r="AE5" t="s">
        <v>101</v>
      </c>
      <c r="AF5" t="s">
        <v>101</v>
      </c>
      <c r="AG5">
        <f>=COUNTIF(B5:AF5,"√")</f>
      </c>
      <c r="AH5">
        <f>=IF(AG5&gt;=30,500,0)</f>
      </c>
    </row>
    <row r="6">
      <c r="A6" t="s">
        <v>105</v>
      </c>
      <c r="B6" t="s">
        <v>101</v>
      </c>
      <c r="C6" t="s">
        <v>101</v>
      </c>
      <c r="D6" t="s">
        <v>101</v>
      </c>
      <c r="E6" t="s">
        <v>100</v>
      </c>
      <c r="F6" t="s">
        <v>101</v>
      </c>
      <c r="G6" t="s">
        <v>101</v>
      </c>
      <c r="H6" t="s">
        <v>101</v>
      </c>
      <c r="I6" t="s">
        <v>101</v>
      </c>
      <c r="J6" t="s">
        <v>101</v>
      </c>
      <c r="K6" t="s">
        <v>101</v>
      </c>
      <c r="L6" t="s">
        <v>100</v>
      </c>
      <c r="M6" t="s">
        <v>101</v>
      </c>
      <c r="N6" t="s">
        <v>101</v>
      </c>
      <c r="O6" t="s">
        <v>101</v>
      </c>
      <c r="P6" t="s">
        <v>101</v>
      </c>
      <c r="Q6" t="s">
        <v>101</v>
      </c>
      <c r="R6" t="s">
        <v>101</v>
      </c>
      <c r="S6" t="s">
        <v>100</v>
      </c>
      <c r="T6" t="s">
        <v>101</v>
      </c>
      <c r="U6" t="s">
        <v>101</v>
      </c>
      <c r="V6" t="s">
        <v>101</v>
      </c>
      <c r="W6" t="s">
        <v>101</v>
      </c>
      <c r="X6" t="s">
        <v>101</v>
      </c>
      <c r="Y6" t="s">
        <v>101</v>
      </c>
      <c r="Z6" t="s">
        <v>100</v>
      </c>
      <c r="AA6" t="s">
        <v>101</v>
      </c>
      <c r="AB6" t="s">
        <v>101</v>
      </c>
      <c r="AC6" t="s">
        <v>101</v>
      </c>
      <c r="AD6" t="s">
        <v>101</v>
      </c>
      <c r="AE6" t="s">
        <v>101</v>
      </c>
      <c r="AF6" t="s">
        <v>101</v>
      </c>
      <c r="AG6">
        <f>=COUNTIF(B6:AF6,"√")</f>
      </c>
      <c r="AH6">
        <f>=IF(AG6&gt;=30,500,0)</f>
      </c>
    </row>
    <row r="7">
      <c r="A7" t="s">
        <v>106</v>
      </c>
      <c r="B7" t="s">
        <v>101</v>
      </c>
      <c r="C7" t="s">
        <v>101</v>
      </c>
      <c r="D7" t="s">
        <v>100</v>
      </c>
      <c r="E7" t="s">
        <v>101</v>
      </c>
      <c r="F7" t="s">
        <v>101</v>
      </c>
      <c r="G7" t="s">
        <v>101</v>
      </c>
      <c r="H7" t="s">
        <v>101</v>
      </c>
      <c r="I7" t="s">
        <v>101</v>
      </c>
      <c r="J7" t="s">
        <v>101</v>
      </c>
      <c r="K7" t="s">
        <v>100</v>
      </c>
      <c r="L7" t="s">
        <v>101</v>
      </c>
      <c r="M7" t="s">
        <v>101</v>
      </c>
      <c r="N7" t="s">
        <v>101</v>
      </c>
      <c r="O7" t="s">
        <v>101</v>
      </c>
      <c r="P7" t="s">
        <v>101</v>
      </c>
      <c r="Q7" t="s">
        <v>101</v>
      </c>
      <c r="R7" t="s">
        <v>100</v>
      </c>
      <c r="S7" t="s">
        <v>101</v>
      </c>
      <c r="T7" t="s">
        <v>101</v>
      </c>
      <c r="U7" t="s">
        <v>101</v>
      </c>
      <c r="V7" t="s">
        <v>101</v>
      </c>
      <c r="W7" t="s">
        <v>101</v>
      </c>
      <c r="X7" t="s">
        <v>101</v>
      </c>
      <c r="Y7" t="s">
        <v>100</v>
      </c>
      <c r="Z7" t="s">
        <v>101</v>
      </c>
      <c r="AA7" t="s">
        <v>101</v>
      </c>
      <c r="AB7" t="s">
        <v>101</v>
      </c>
      <c r="AC7" t="s">
        <v>101</v>
      </c>
      <c r="AD7" t="s">
        <v>101</v>
      </c>
      <c r="AE7" t="s">
        <v>101</v>
      </c>
      <c r="AF7" t="s">
        <v>100</v>
      </c>
      <c r="AG7">
        <f>=COUNTIF(B7:AF7,"√")</f>
      </c>
      <c r="AH7">
        <f>=IF(AG7&gt;=30,500,0)</f>
      </c>
    </row>
    <row r="8">
      <c r="A8" t="s">
        <v>107</v>
      </c>
      <c r="B8" t="s">
        <v>101</v>
      </c>
      <c r="C8" t="s">
        <v>100</v>
      </c>
      <c r="D8" t="s">
        <v>101</v>
      </c>
      <c r="E8" t="s">
        <v>101</v>
      </c>
      <c r="F8" t="s">
        <v>101</v>
      </c>
      <c r="G8" t="s">
        <v>101</v>
      </c>
      <c r="H8" t="s">
        <v>101</v>
      </c>
      <c r="I8" t="s">
        <v>101</v>
      </c>
      <c r="J8" t="s">
        <v>100</v>
      </c>
      <c r="K8" t="s">
        <v>101</v>
      </c>
      <c r="L8" t="s">
        <v>101</v>
      </c>
      <c r="M8" t="s">
        <v>101</v>
      </c>
      <c r="N8" t="s">
        <v>101</v>
      </c>
      <c r="O8" t="s">
        <v>101</v>
      </c>
      <c r="P8" t="s">
        <v>101</v>
      </c>
      <c r="Q8" t="s">
        <v>100</v>
      </c>
      <c r="R8" t="s">
        <v>101</v>
      </c>
      <c r="S8" t="s">
        <v>101</v>
      </c>
      <c r="T8" t="s">
        <v>101</v>
      </c>
      <c r="U8" t="s">
        <v>101</v>
      </c>
      <c r="V8" t="s">
        <v>101</v>
      </c>
      <c r="W8" t="s">
        <v>101</v>
      </c>
      <c r="X8" t="s">
        <v>100</v>
      </c>
      <c r="Y8" t="s">
        <v>101</v>
      </c>
      <c r="Z8" t="s">
        <v>101</v>
      </c>
      <c r="AA8" t="s">
        <v>101</v>
      </c>
      <c r="AB8" t="s">
        <v>101</v>
      </c>
      <c r="AC8" t="s">
        <v>101</v>
      </c>
      <c r="AD8" t="s">
        <v>101</v>
      </c>
      <c r="AE8" t="s">
        <v>100</v>
      </c>
      <c r="AF8" t="s">
        <v>101</v>
      </c>
      <c r="AG8">
        <f>=COUNTIF(B8:AF8,"√")</f>
      </c>
      <c r="AH8">
        <f>=IF(AG8&gt;=30,500,0)</f>
      </c>
    </row>
    <row r="9">
      <c r="A9" t="s">
        <v>108</v>
      </c>
      <c r="B9" t="s">
        <v>100</v>
      </c>
      <c r="C9" t="s">
        <v>101</v>
      </c>
      <c r="D9" t="s">
        <v>101</v>
      </c>
      <c r="E9" t="s">
        <v>101</v>
      </c>
      <c r="F9" t="s">
        <v>101</v>
      </c>
      <c r="G9" t="s">
        <v>101</v>
      </c>
      <c r="H9" t="s">
        <v>101</v>
      </c>
      <c r="I9" t="s">
        <v>100</v>
      </c>
      <c r="J9" t="s">
        <v>101</v>
      </c>
      <c r="K9" t="s">
        <v>101</v>
      </c>
      <c r="L9" t="s">
        <v>101</v>
      </c>
      <c r="M9" t="s">
        <v>101</v>
      </c>
      <c r="N9" t="s">
        <v>101</v>
      </c>
      <c r="O9" t="s">
        <v>101</v>
      </c>
      <c r="P9" t="s">
        <v>100</v>
      </c>
      <c r="Q9" t="s">
        <v>101</v>
      </c>
      <c r="R9" t="s">
        <v>101</v>
      </c>
      <c r="S9" t="s">
        <v>101</v>
      </c>
      <c r="T9" t="s">
        <v>101</v>
      </c>
      <c r="U9" t="s">
        <v>101</v>
      </c>
      <c r="V9" t="s">
        <v>101</v>
      </c>
      <c r="W9" t="s">
        <v>100</v>
      </c>
      <c r="X9" t="s">
        <v>101</v>
      </c>
      <c r="Y9" t="s">
        <v>101</v>
      </c>
      <c r="Z9" t="s">
        <v>101</v>
      </c>
      <c r="AA9" t="s">
        <v>101</v>
      </c>
      <c r="AB9" t="s">
        <v>101</v>
      </c>
      <c r="AC9" t="s">
        <v>101</v>
      </c>
      <c r="AD9" t="s">
        <v>100</v>
      </c>
      <c r="AE9" t="s">
        <v>101</v>
      </c>
      <c r="AF9" t="s">
        <v>101</v>
      </c>
      <c r="AG9">
        <f>=COUNTIF(B9:AF9,"√")</f>
      </c>
      <c r="AH9">
        <f>=IF(AG9&gt;=30,500,0)</f>
      </c>
    </row>
    <row r="10">
      <c r="A10" t="s">
        <v>109</v>
      </c>
      <c r="B10" t="s">
        <v>101</v>
      </c>
      <c r="C10" t="s">
        <v>101</v>
      </c>
      <c r="D10" t="s">
        <v>101</v>
      </c>
      <c r="E10" t="s">
        <v>101</v>
      </c>
      <c r="F10" t="s">
        <v>101</v>
      </c>
      <c r="G10" t="s">
        <v>101</v>
      </c>
      <c r="H10" t="s">
        <v>100</v>
      </c>
      <c r="I10" t="s">
        <v>101</v>
      </c>
      <c r="J10" t="s">
        <v>101</v>
      </c>
      <c r="K10" t="s">
        <v>101</v>
      </c>
      <c r="L10" t="s">
        <v>101</v>
      </c>
      <c r="M10" t="s">
        <v>101</v>
      </c>
      <c r="N10" t="s">
        <v>101</v>
      </c>
      <c r="O10" t="s">
        <v>100</v>
      </c>
      <c r="P10" t="s">
        <v>101</v>
      </c>
      <c r="Q10" t="s">
        <v>101</v>
      </c>
      <c r="R10" t="s">
        <v>101</v>
      </c>
      <c r="S10" t="s">
        <v>101</v>
      </c>
      <c r="T10" t="s">
        <v>101</v>
      </c>
      <c r="U10" t="s">
        <v>101</v>
      </c>
      <c r="V10" t="s">
        <v>100</v>
      </c>
      <c r="W10" t="s">
        <v>101</v>
      </c>
      <c r="X10" t="s">
        <v>101</v>
      </c>
      <c r="Y10" t="s">
        <v>101</v>
      </c>
      <c r="Z10" t="s">
        <v>101</v>
      </c>
      <c r="AA10" t="s">
        <v>101</v>
      </c>
      <c r="AB10" t="s">
        <v>101</v>
      </c>
      <c r="AC10" t="s">
        <v>100</v>
      </c>
      <c r="AD10" t="s">
        <v>101</v>
      </c>
      <c r="AE10" t="s">
        <v>101</v>
      </c>
      <c r="AF10" t="s">
        <v>101</v>
      </c>
      <c r="AG10">
        <f>=COUNTIF(B10:AF10,"√")</f>
      </c>
      <c r="AH10">
        <f>=IF(AG10&gt;=30,500,0)</f>
      </c>
    </row>
    <row r="11">
      <c r="A11" t="s">
        <v>110</v>
      </c>
      <c r="B11" t="s">
        <v>101</v>
      </c>
      <c r="C11" t="s">
        <v>101</v>
      </c>
      <c r="D11" t="s">
        <v>101</v>
      </c>
      <c r="E11" t="s">
        <v>101</v>
      </c>
      <c r="F11" t="s">
        <v>101</v>
      </c>
      <c r="G11" t="s">
        <v>100</v>
      </c>
      <c r="H11" t="s">
        <v>101</v>
      </c>
      <c r="I11" t="s">
        <v>101</v>
      </c>
      <c r="J11" t="s">
        <v>101</v>
      </c>
      <c r="K11" t="s">
        <v>101</v>
      </c>
      <c r="L11" t="s">
        <v>101</v>
      </c>
      <c r="M11" t="s">
        <v>101</v>
      </c>
      <c r="N11" t="s">
        <v>100</v>
      </c>
      <c r="O11" t="s">
        <v>101</v>
      </c>
      <c r="P11" t="s">
        <v>101</v>
      </c>
      <c r="Q11" t="s">
        <v>101</v>
      </c>
      <c r="R11" t="s">
        <v>101</v>
      </c>
      <c r="S11" t="s">
        <v>101</v>
      </c>
      <c r="T11" t="s">
        <v>101</v>
      </c>
      <c r="U11" t="s">
        <v>100</v>
      </c>
      <c r="V11" t="s">
        <v>101</v>
      </c>
      <c r="W11" t="s">
        <v>101</v>
      </c>
      <c r="X11" t="s">
        <v>101</v>
      </c>
      <c r="Y11" t="s">
        <v>101</v>
      </c>
      <c r="Z11" t="s">
        <v>101</v>
      </c>
      <c r="AA11" t="s">
        <v>101</v>
      </c>
      <c r="AB11" t="s">
        <v>100</v>
      </c>
      <c r="AC11" t="s">
        <v>101</v>
      </c>
      <c r="AD11" t="s">
        <v>101</v>
      </c>
      <c r="AE11" t="s">
        <v>101</v>
      </c>
      <c r="AF11" t="s">
        <v>101</v>
      </c>
      <c r="AG11">
        <f>=COUNTIF(B11:AF11,"√")</f>
      </c>
      <c r="AH11">
        <f>=IF(AG11&gt;=30,500,0)</f>
      </c>
    </row>
    <row r="12">
      <c r="A12" t="s">
        <v>111</v>
      </c>
      <c r="B12" t="s">
        <v>101</v>
      </c>
      <c r="C12" t="s">
        <v>101</v>
      </c>
      <c r="D12" t="s">
        <v>101</v>
      </c>
      <c r="E12" t="s">
        <v>101</v>
      </c>
      <c r="F12" t="s">
        <v>100</v>
      </c>
      <c r="G12" t="s">
        <v>101</v>
      </c>
      <c r="H12" t="s">
        <v>101</v>
      </c>
      <c r="I12" t="s">
        <v>101</v>
      </c>
      <c r="J12" t="s">
        <v>101</v>
      </c>
      <c r="K12" t="s">
        <v>101</v>
      </c>
      <c r="L12" t="s">
        <v>101</v>
      </c>
      <c r="M12" t="s">
        <v>100</v>
      </c>
      <c r="N12" t="s">
        <v>101</v>
      </c>
      <c r="O12" t="s">
        <v>101</v>
      </c>
      <c r="P12" t="s">
        <v>101</v>
      </c>
      <c r="Q12" t="s">
        <v>101</v>
      </c>
      <c r="R12" t="s">
        <v>101</v>
      </c>
      <c r="S12" t="s">
        <v>101</v>
      </c>
      <c r="T12" t="s">
        <v>100</v>
      </c>
      <c r="U12" t="s">
        <v>101</v>
      </c>
      <c r="V12" t="s">
        <v>101</v>
      </c>
      <c r="W12" t="s">
        <v>101</v>
      </c>
      <c r="X12" t="s">
        <v>101</v>
      </c>
      <c r="Y12" t="s">
        <v>101</v>
      </c>
      <c r="Z12" t="s">
        <v>101</v>
      </c>
      <c r="AA12" t="s">
        <v>100</v>
      </c>
      <c r="AB12" t="s">
        <v>101</v>
      </c>
      <c r="AC12" t="s">
        <v>101</v>
      </c>
      <c r="AD12" t="s">
        <v>101</v>
      </c>
      <c r="AE12" t="s">
        <v>101</v>
      </c>
      <c r="AF12" t="s">
        <v>101</v>
      </c>
      <c r="AG12">
        <f>=COUNTIF(B12:AF12,"√")</f>
      </c>
      <c r="AH12">
        <f>=IF(AG12&gt;=30,500,0)</f>
      </c>
    </row>
    <row r="13">
      <c r="A13" t="s">
        <v>112</v>
      </c>
      <c r="B13" t="s">
        <v>101</v>
      </c>
      <c r="C13" t="s">
        <v>101</v>
      </c>
      <c r="D13" t="s">
        <v>101</v>
      </c>
      <c r="E13" t="s">
        <v>100</v>
      </c>
      <c r="F13" t="s">
        <v>101</v>
      </c>
      <c r="G13" t="s">
        <v>101</v>
      </c>
      <c r="H13" t="s">
        <v>101</v>
      </c>
      <c r="I13" t="s">
        <v>101</v>
      </c>
      <c r="J13" t="s">
        <v>101</v>
      </c>
      <c r="K13" t="s">
        <v>101</v>
      </c>
      <c r="L13" t="s">
        <v>100</v>
      </c>
      <c r="M13" t="s">
        <v>101</v>
      </c>
      <c r="N13" t="s">
        <v>101</v>
      </c>
      <c r="O13" t="s">
        <v>101</v>
      </c>
      <c r="P13" t="s">
        <v>101</v>
      </c>
      <c r="Q13" t="s">
        <v>101</v>
      </c>
      <c r="R13" t="s">
        <v>101</v>
      </c>
      <c r="S13" t="s">
        <v>100</v>
      </c>
      <c r="T13" t="s">
        <v>101</v>
      </c>
      <c r="U13" t="s">
        <v>101</v>
      </c>
      <c r="V13" t="s">
        <v>101</v>
      </c>
      <c r="W13" t="s">
        <v>101</v>
      </c>
      <c r="X13" t="s">
        <v>101</v>
      </c>
      <c r="Y13" t="s">
        <v>101</v>
      </c>
      <c r="Z13" t="s">
        <v>100</v>
      </c>
      <c r="AA13" t="s">
        <v>101</v>
      </c>
      <c r="AB13" t="s">
        <v>101</v>
      </c>
      <c r="AC13" t="s">
        <v>101</v>
      </c>
      <c r="AD13" t="s">
        <v>101</v>
      </c>
      <c r="AE13" t="s">
        <v>101</v>
      </c>
      <c r="AF13" t="s">
        <v>101</v>
      </c>
      <c r="AG13">
        <f>=COUNTIF(B13:AF13,"√")</f>
      </c>
      <c r="AH13">
        <f>=IF(AG13&gt;=30,500,0)</f>
      </c>
    </row>
    <row r="14">
      <c r="A14" t="s">
        <v>113</v>
      </c>
      <c r="B14" t="s">
        <v>101</v>
      </c>
      <c r="C14" t="s">
        <v>101</v>
      </c>
      <c r="D14" t="s">
        <v>100</v>
      </c>
      <c r="E14" t="s">
        <v>101</v>
      </c>
      <c r="F14" t="s">
        <v>101</v>
      </c>
      <c r="G14" t="s">
        <v>101</v>
      </c>
      <c r="H14" t="s">
        <v>101</v>
      </c>
      <c r="I14" t="s">
        <v>101</v>
      </c>
      <c r="J14" t="s">
        <v>101</v>
      </c>
      <c r="K14" t="s">
        <v>100</v>
      </c>
      <c r="L14" t="s">
        <v>101</v>
      </c>
      <c r="M14" t="s">
        <v>101</v>
      </c>
      <c r="N14" t="s">
        <v>101</v>
      </c>
      <c r="O14" t="s">
        <v>101</v>
      </c>
      <c r="P14" t="s">
        <v>101</v>
      </c>
      <c r="Q14" t="s">
        <v>101</v>
      </c>
      <c r="R14" t="s">
        <v>100</v>
      </c>
      <c r="S14" t="s">
        <v>101</v>
      </c>
      <c r="T14" t="s">
        <v>101</v>
      </c>
      <c r="U14" t="s">
        <v>101</v>
      </c>
      <c r="V14" t="s">
        <v>101</v>
      </c>
      <c r="W14" t="s">
        <v>101</v>
      </c>
      <c r="X14" t="s">
        <v>101</v>
      </c>
      <c r="Y14" t="s">
        <v>100</v>
      </c>
      <c r="Z14" t="s">
        <v>101</v>
      </c>
      <c r="AA14" t="s">
        <v>101</v>
      </c>
      <c r="AB14" t="s">
        <v>101</v>
      </c>
      <c r="AC14" t="s">
        <v>101</v>
      </c>
      <c r="AD14" t="s">
        <v>101</v>
      </c>
      <c r="AE14" t="s">
        <v>101</v>
      </c>
      <c r="AF14" t="s">
        <v>100</v>
      </c>
      <c r="AG14">
        <f>=COUNTIF(B14:AF14,"√")</f>
      </c>
      <c r="AH14">
        <f>=IF(AG14&gt;=30,500,0)</f>
      </c>
    </row>
    <row r="15">
      <c r="A15" t="s">
        <v>114</v>
      </c>
      <c r="B15" t="s">
        <v>101</v>
      </c>
      <c r="C15" t="s">
        <v>100</v>
      </c>
      <c r="D15" t="s">
        <v>101</v>
      </c>
      <c r="E15" t="s">
        <v>101</v>
      </c>
      <c r="F15" t="s">
        <v>101</v>
      </c>
      <c r="G15" t="s">
        <v>101</v>
      </c>
      <c r="H15" t="s">
        <v>101</v>
      </c>
      <c r="I15" t="s">
        <v>101</v>
      </c>
      <c r="J15" t="s">
        <v>100</v>
      </c>
      <c r="K15" t="s">
        <v>101</v>
      </c>
      <c r="L15" t="s">
        <v>101</v>
      </c>
      <c r="M15" t="s">
        <v>101</v>
      </c>
      <c r="N15" t="s">
        <v>101</v>
      </c>
      <c r="O15" t="s">
        <v>101</v>
      </c>
      <c r="P15" t="s">
        <v>101</v>
      </c>
      <c r="Q15" t="s">
        <v>100</v>
      </c>
      <c r="R15" t="s">
        <v>101</v>
      </c>
      <c r="S15" t="s">
        <v>101</v>
      </c>
      <c r="T15" t="s">
        <v>101</v>
      </c>
      <c r="U15" t="s">
        <v>101</v>
      </c>
      <c r="V15" t="s">
        <v>101</v>
      </c>
      <c r="W15" t="s">
        <v>101</v>
      </c>
      <c r="X15" t="s">
        <v>100</v>
      </c>
      <c r="Y15" t="s">
        <v>101</v>
      </c>
      <c r="Z15" t="s">
        <v>101</v>
      </c>
      <c r="AA15" t="s">
        <v>101</v>
      </c>
      <c r="AB15" t="s">
        <v>101</v>
      </c>
      <c r="AC15" t="s">
        <v>101</v>
      </c>
      <c r="AD15" t="s">
        <v>101</v>
      </c>
      <c r="AE15" t="s">
        <v>100</v>
      </c>
      <c r="AF15" t="s">
        <v>101</v>
      </c>
      <c r="AG15">
        <f>=COUNTIF(B15:AF15,"√")</f>
      </c>
      <c r="AH15">
        <f>=IF(AG15&gt;=30,500,0)</f>
      </c>
    </row>
    <row r="16">
      <c r="A16" t="s">
        <v>115</v>
      </c>
      <c r="B16" t="s">
        <v>100</v>
      </c>
      <c r="C16" t="s">
        <v>101</v>
      </c>
      <c r="D16" t="s">
        <v>101</v>
      </c>
      <c r="E16" t="s">
        <v>101</v>
      </c>
      <c r="F16" t="s">
        <v>101</v>
      </c>
      <c r="G16" t="s">
        <v>101</v>
      </c>
      <c r="H16" t="s">
        <v>101</v>
      </c>
      <c r="I16" t="s">
        <v>100</v>
      </c>
      <c r="J16" t="s">
        <v>101</v>
      </c>
      <c r="K16" t="s">
        <v>101</v>
      </c>
      <c r="L16" t="s">
        <v>101</v>
      </c>
      <c r="M16" t="s">
        <v>101</v>
      </c>
      <c r="N16" t="s">
        <v>101</v>
      </c>
      <c r="O16" t="s">
        <v>101</v>
      </c>
      <c r="P16" t="s">
        <v>100</v>
      </c>
      <c r="Q16" t="s">
        <v>101</v>
      </c>
      <c r="R16" t="s">
        <v>101</v>
      </c>
      <c r="S16" t="s">
        <v>101</v>
      </c>
      <c r="T16" t="s">
        <v>101</v>
      </c>
      <c r="U16" t="s">
        <v>101</v>
      </c>
      <c r="V16" t="s">
        <v>101</v>
      </c>
      <c r="W16" t="s">
        <v>100</v>
      </c>
      <c r="X16" t="s">
        <v>101</v>
      </c>
      <c r="Y16" t="s">
        <v>101</v>
      </c>
      <c r="Z16" t="s">
        <v>101</v>
      </c>
      <c r="AA16" t="s">
        <v>101</v>
      </c>
      <c r="AB16" t="s">
        <v>101</v>
      </c>
      <c r="AC16" t="s">
        <v>101</v>
      </c>
      <c r="AD16" t="s">
        <v>100</v>
      </c>
      <c r="AE16" t="s">
        <v>101</v>
      </c>
      <c r="AF16" t="s">
        <v>101</v>
      </c>
      <c r="AG16">
        <f>=COUNTIF(B16:AF16,"√")</f>
      </c>
      <c r="AH16">
        <f>=IF(AG16&gt;=30,500,0)</f>
      </c>
    </row>
    <row r="17">
      <c r="A17" t="s">
        <v>116</v>
      </c>
      <c r="B17" t="s">
        <v>101</v>
      </c>
      <c r="C17" t="s">
        <v>101</v>
      </c>
      <c r="D17" t="s">
        <v>101</v>
      </c>
      <c r="E17" t="s">
        <v>101</v>
      </c>
      <c r="F17" t="s">
        <v>101</v>
      </c>
      <c r="G17" t="s">
        <v>101</v>
      </c>
      <c r="H17" t="s">
        <v>100</v>
      </c>
      <c r="I17" t="s">
        <v>101</v>
      </c>
      <c r="J17" t="s">
        <v>101</v>
      </c>
      <c r="K17" t="s">
        <v>101</v>
      </c>
      <c r="L17" t="s">
        <v>101</v>
      </c>
      <c r="M17" t="s">
        <v>101</v>
      </c>
      <c r="N17" t="s">
        <v>101</v>
      </c>
      <c r="O17" t="s">
        <v>100</v>
      </c>
      <c r="P17" t="s">
        <v>101</v>
      </c>
      <c r="Q17" t="s">
        <v>101</v>
      </c>
      <c r="R17" t="s">
        <v>101</v>
      </c>
      <c r="S17" t="s">
        <v>101</v>
      </c>
      <c r="T17" t="s">
        <v>101</v>
      </c>
      <c r="U17" t="s">
        <v>101</v>
      </c>
      <c r="V17" t="s">
        <v>100</v>
      </c>
      <c r="W17" t="s">
        <v>101</v>
      </c>
      <c r="X17" t="s">
        <v>101</v>
      </c>
      <c r="Y17" t="s">
        <v>101</v>
      </c>
      <c r="Z17" t="s">
        <v>101</v>
      </c>
      <c r="AA17" t="s">
        <v>101</v>
      </c>
      <c r="AB17" t="s">
        <v>101</v>
      </c>
      <c r="AC17" t="s">
        <v>100</v>
      </c>
      <c r="AD17" t="s">
        <v>101</v>
      </c>
      <c r="AE17" t="s">
        <v>101</v>
      </c>
      <c r="AF17" t="s">
        <v>101</v>
      </c>
      <c r="AG17">
        <f>=COUNTIF(B17:AF17,"√")</f>
      </c>
      <c r="AH17">
        <f>=IF(AG17&gt;=30,500,0)</f>
      </c>
    </row>
    <row r="18">
      <c r="A18" t="s">
        <v>117</v>
      </c>
      <c r="B18" t="s">
        <v>101</v>
      </c>
      <c r="C18" t="s">
        <v>101</v>
      </c>
      <c r="D18" t="s">
        <v>101</v>
      </c>
      <c r="E18" t="s">
        <v>101</v>
      </c>
      <c r="F18" t="s">
        <v>101</v>
      </c>
      <c r="G18" t="s">
        <v>100</v>
      </c>
      <c r="H18" t="s">
        <v>101</v>
      </c>
      <c r="I18" t="s">
        <v>101</v>
      </c>
      <c r="J18" t="s">
        <v>101</v>
      </c>
      <c r="K18" t="s">
        <v>101</v>
      </c>
      <c r="L18" t="s">
        <v>101</v>
      </c>
      <c r="M18" t="s">
        <v>101</v>
      </c>
      <c r="N18" t="s">
        <v>100</v>
      </c>
      <c r="O18" t="s">
        <v>101</v>
      </c>
      <c r="P18" t="s">
        <v>101</v>
      </c>
      <c r="Q18" t="s">
        <v>101</v>
      </c>
      <c r="R18" t="s">
        <v>101</v>
      </c>
      <c r="S18" t="s">
        <v>101</v>
      </c>
      <c r="T18" t="s">
        <v>101</v>
      </c>
      <c r="U18" t="s">
        <v>100</v>
      </c>
      <c r="V18" t="s">
        <v>101</v>
      </c>
      <c r="W18" t="s">
        <v>101</v>
      </c>
      <c r="X18" t="s">
        <v>101</v>
      </c>
      <c r="Y18" t="s">
        <v>101</v>
      </c>
      <c r="Z18" t="s">
        <v>101</v>
      </c>
      <c r="AA18" t="s">
        <v>101</v>
      </c>
      <c r="AB18" t="s">
        <v>100</v>
      </c>
      <c r="AC18" t="s">
        <v>101</v>
      </c>
      <c r="AD18" t="s">
        <v>101</v>
      </c>
      <c r="AE18" t="s">
        <v>101</v>
      </c>
      <c r="AF18" t="s">
        <v>101</v>
      </c>
      <c r="AG18">
        <f>=COUNTIF(B18:AF18,"√")</f>
      </c>
      <c r="AH18">
        <f>=IF(AG18&gt;=30,500,0)</f>
      </c>
    </row>
    <row r="19">
      <c r="A19" t="s">
        <v>118</v>
      </c>
      <c r="B19" t="s">
        <v>101</v>
      </c>
      <c r="C19" t="s">
        <v>101</v>
      </c>
      <c r="D19" t="s">
        <v>101</v>
      </c>
      <c r="E19" t="s">
        <v>101</v>
      </c>
      <c r="F19" t="s">
        <v>100</v>
      </c>
      <c r="G19" t="s">
        <v>101</v>
      </c>
      <c r="H19" t="s">
        <v>101</v>
      </c>
      <c r="I19" t="s">
        <v>101</v>
      </c>
      <c r="J19" t="s">
        <v>101</v>
      </c>
      <c r="K19" t="s">
        <v>101</v>
      </c>
      <c r="L19" t="s">
        <v>101</v>
      </c>
      <c r="M19" t="s">
        <v>100</v>
      </c>
      <c r="N19" t="s">
        <v>101</v>
      </c>
      <c r="O19" t="s">
        <v>101</v>
      </c>
      <c r="P19" t="s">
        <v>101</v>
      </c>
      <c r="Q19" t="s">
        <v>101</v>
      </c>
      <c r="R19" t="s">
        <v>101</v>
      </c>
      <c r="S19" t="s">
        <v>101</v>
      </c>
      <c r="T19" t="s">
        <v>100</v>
      </c>
      <c r="U19" t="s">
        <v>101</v>
      </c>
      <c r="V19" t="s">
        <v>101</v>
      </c>
      <c r="W19" t="s">
        <v>101</v>
      </c>
      <c r="X19" t="s">
        <v>101</v>
      </c>
      <c r="Y19" t="s">
        <v>101</v>
      </c>
      <c r="Z19" t="s">
        <v>101</v>
      </c>
      <c r="AA19" t="s">
        <v>100</v>
      </c>
      <c r="AB19" t="s">
        <v>101</v>
      </c>
      <c r="AC19" t="s">
        <v>101</v>
      </c>
      <c r="AD19" t="s">
        <v>101</v>
      </c>
      <c r="AE19" t="s">
        <v>101</v>
      </c>
      <c r="AF19" t="s">
        <v>101</v>
      </c>
      <c r="AG19">
        <f>=COUNTIF(B19:AF19,"√")</f>
      </c>
      <c r="AH19">
        <f>=IF(AG19&gt;=30,500,0)</f>
      </c>
    </row>
    <row r="20">
      <c r="A20" t="s">
        <v>119</v>
      </c>
      <c r="B20" t="s">
        <v>101</v>
      </c>
      <c r="C20" t="s">
        <v>101</v>
      </c>
      <c r="D20" t="s">
        <v>101</v>
      </c>
      <c r="E20" t="s">
        <v>100</v>
      </c>
      <c r="F20" t="s">
        <v>101</v>
      </c>
      <c r="G20" t="s">
        <v>101</v>
      </c>
      <c r="H20" t="s">
        <v>101</v>
      </c>
      <c r="I20" t="s">
        <v>101</v>
      </c>
      <c r="J20" t="s">
        <v>101</v>
      </c>
      <c r="K20" t="s">
        <v>101</v>
      </c>
      <c r="L20" t="s">
        <v>100</v>
      </c>
      <c r="M20" t="s">
        <v>101</v>
      </c>
      <c r="N20" t="s">
        <v>101</v>
      </c>
      <c r="O20" t="s">
        <v>101</v>
      </c>
      <c r="P20" t="s">
        <v>101</v>
      </c>
      <c r="Q20" t="s">
        <v>101</v>
      </c>
      <c r="R20" t="s">
        <v>101</v>
      </c>
      <c r="S20" t="s">
        <v>100</v>
      </c>
      <c r="T20" t="s">
        <v>101</v>
      </c>
      <c r="U20" t="s">
        <v>101</v>
      </c>
      <c r="V20" t="s">
        <v>101</v>
      </c>
      <c r="W20" t="s">
        <v>101</v>
      </c>
      <c r="X20" t="s">
        <v>101</v>
      </c>
      <c r="Y20" t="s">
        <v>101</v>
      </c>
      <c r="Z20" t="s">
        <v>100</v>
      </c>
      <c r="AA20" t="s">
        <v>101</v>
      </c>
      <c r="AB20" t="s">
        <v>101</v>
      </c>
      <c r="AC20" t="s">
        <v>101</v>
      </c>
      <c r="AD20" t="s">
        <v>101</v>
      </c>
      <c r="AE20" t="s">
        <v>101</v>
      </c>
      <c r="AF20" t="s">
        <v>101</v>
      </c>
      <c r="AG20">
        <f>=COUNTIF(B20:AF20,"√")</f>
      </c>
      <c r="AH20">
        <f>=IF(AG20&gt;=30,500,0)</f>
      </c>
    </row>
    <row r="21">
      <c r="A21" t="s">
        <v>120</v>
      </c>
      <c r="B21" t="s">
        <v>101</v>
      </c>
      <c r="C21" t="s">
        <v>101</v>
      </c>
      <c r="D21" t="s">
        <v>100</v>
      </c>
      <c r="E21" t="s">
        <v>101</v>
      </c>
      <c r="F21" t="s">
        <v>101</v>
      </c>
      <c r="G21" t="s">
        <v>101</v>
      </c>
      <c r="H21" t="s">
        <v>101</v>
      </c>
      <c r="I21" t="s">
        <v>101</v>
      </c>
      <c r="J21" t="s">
        <v>101</v>
      </c>
      <c r="K21" t="s">
        <v>100</v>
      </c>
      <c r="L21" t="s">
        <v>101</v>
      </c>
      <c r="M21" t="s">
        <v>101</v>
      </c>
      <c r="N21" t="s">
        <v>101</v>
      </c>
      <c r="O21" t="s">
        <v>101</v>
      </c>
      <c r="P21" t="s">
        <v>101</v>
      </c>
      <c r="Q21" t="s">
        <v>101</v>
      </c>
      <c r="R21" t="s">
        <v>100</v>
      </c>
      <c r="S21" t="s">
        <v>101</v>
      </c>
      <c r="T21" t="s">
        <v>101</v>
      </c>
      <c r="U21" t="s">
        <v>101</v>
      </c>
      <c r="V21" t="s">
        <v>101</v>
      </c>
      <c r="W21" t="s">
        <v>101</v>
      </c>
      <c r="X21" t="s">
        <v>101</v>
      </c>
      <c r="Y21" t="s">
        <v>100</v>
      </c>
      <c r="Z21" t="s">
        <v>101</v>
      </c>
      <c r="AA21" t="s">
        <v>101</v>
      </c>
      <c r="AB21" t="s">
        <v>101</v>
      </c>
      <c r="AC21" t="s">
        <v>101</v>
      </c>
      <c r="AD21" t="s">
        <v>101</v>
      </c>
      <c r="AE21" t="s">
        <v>101</v>
      </c>
      <c r="AF21" t="s">
        <v>100</v>
      </c>
      <c r="AG21">
        <f>=COUNTIF(B21:AF21,"√")</f>
      </c>
      <c r="AH21">
        <f>=IF(AG21&gt;=30,500,0)</f>
      </c>
    </row>
  </sheetData>
</worksheet>
</file>

<file path=xl/worksheets/sheet5.xml><?xml version="1.0" encoding="utf-8"?>
<worksheet xmlns="http://schemas.openxmlformats.org/spreadsheetml/2006/main">
  <dimension ref="A1"/>
  <sheetViews>
    <sheetView workbookViewId="0"/>
  </sheetViews>
  <sheetData>
    <row r="1">
      <c r="A1" t="s">
        <v>121</v>
      </c>
      <c r="B1" t="s">
        <v>122</v>
      </c>
      <c r="C1" t="s">
        <v>123</v>
      </c>
      <c r="D1" t="s">
        <v>124</v>
      </c>
      <c r="E1" t="s">
        <v>125</v>
      </c>
      <c r="F1" t="s">
        <v>11</v>
      </c>
    </row>
    <row r="2">
      <c r="A2" t="s">
        <v>126</v>
      </c>
      <c r="B2" s="1">
        <v>45292</v>
      </c>
      <c r="C2" s="2">
        <v>45295</v>
      </c>
      <c r="D2">
        <f>=C2-B2+1</f>
      </c>
      <c r="E2">
        <v>0.2</v>
      </c>
      <c r="F2">
        <f>=IF(E2&gt;=1,"完成",IF(TODAY()&gt;C2,"延期","进行中"))</f>
      </c>
    </row>
    <row r="3">
      <c r="A3" t="s">
        <v>127</v>
      </c>
      <c r="B3" s="2">
        <v>45295</v>
      </c>
      <c r="C3" s="2">
        <v>45299</v>
      </c>
      <c r="D3">
        <f>=C3-B3+1</f>
      </c>
      <c r="E3">
        <v>0.4</v>
      </c>
      <c r="F3">
        <f>=IF(E3&gt;=1,"完成",IF(TODAY()&gt;C3,"延期","进行中"))</f>
      </c>
    </row>
    <row r="4">
      <c r="A4" t="s">
        <v>128</v>
      </c>
      <c r="B4" s="2">
        <v>45298</v>
      </c>
      <c r="C4" s="2">
        <v>45303</v>
      </c>
      <c r="D4">
        <f>=C4-B4+1</f>
      </c>
      <c r="E4">
        <v>0.6</v>
      </c>
      <c r="F4">
        <f>=IF(E4&gt;=1,"完成",IF(TODAY()&gt;C4,"延期","进行中"))</f>
      </c>
    </row>
    <row r="5">
      <c r="A5" t="s">
        <v>129</v>
      </c>
      <c r="B5" s="2">
        <v>45301</v>
      </c>
      <c r="C5" s="2">
        <v>45307</v>
      </c>
      <c r="D5">
        <f>=C5-B5+1</f>
      </c>
      <c r="E5">
        <v>0.8</v>
      </c>
      <c r="F5">
        <f>=IF(E5&gt;=1,"完成",IF(TODAY()&gt;C5,"延期","进行中"))</f>
      </c>
    </row>
    <row r="6">
      <c r="A6" t="s">
        <v>130</v>
      </c>
      <c r="B6" s="2">
        <v>45304</v>
      </c>
      <c r="C6" s="2">
        <v>45311</v>
      </c>
      <c r="D6">
        <f>=C6-B6+1</f>
      </c>
      <c r="E6">
        <v>1</v>
      </c>
      <c r="F6">
        <f>=IF(E6&gt;=1,"完成",IF(TODAY()&gt;C6,"延期","进行中"))</f>
      </c>
    </row>
    <row r="7">
      <c r="A7" t="s">
        <v>131</v>
      </c>
      <c r="B7" s="2">
        <v>45307</v>
      </c>
      <c r="C7" s="2">
        <v>45310</v>
      </c>
      <c r="D7">
        <f>=C7-B7+1</f>
      </c>
      <c r="E7">
        <v>0.2</v>
      </c>
      <c r="F7">
        <f>=IF(E7&gt;=1,"完成",IF(TODAY()&gt;C7,"延期","进行中"))</f>
      </c>
    </row>
    <row r="8">
      <c r="A8" t="s">
        <v>132</v>
      </c>
      <c r="B8" s="2">
        <v>45310</v>
      </c>
      <c r="C8" s="2">
        <v>45314</v>
      </c>
      <c r="D8">
        <f>=C8-B8+1</f>
      </c>
      <c r="E8">
        <v>0.4</v>
      </c>
      <c r="F8">
        <f>=IF(E8&gt;=1,"完成",IF(TODAY()&gt;C8,"延期","进行中"))</f>
      </c>
    </row>
    <row r="9">
      <c r="A9" t="s">
        <v>133</v>
      </c>
      <c r="B9" s="2">
        <v>45313</v>
      </c>
      <c r="C9" s="2">
        <v>45318</v>
      </c>
      <c r="D9">
        <f>=C9-B9+1</f>
      </c>
      <c r="E9">
        <v>0.6</v>
      </c>
      <c r="F9">
        <f>=IF(E9&gt;=1,"完成",IF(TODAY()&gt;C9,"延期","进行中"))</f>
      </c>
    </row>
    <row r="10">
      <c r="A10" t="s">
        <v>134</v>
      </c>
      <c r="B10" s="2">
        <v>45316</v>
      </c>
      <c r="C10" s="2">
        <v>45322</v>
      </c>
      <c r="D10">
        <f>=C10-B10+1</f>
      </c>
      <c r="E10">
        <v>0.8</v>
      </c>
      <c r="F10">
        <f>=IF(E10&gt;=1,"完成",IF(TODAY()&gt;C10,"延期","进行中"))</f>
      </c>
    </row>
    <row r="11">
      <c r="A11" t="s">
        <v>135</v>
      </c>
      <c r="B11" s="2">
        <v>45319</v>
      </c>
      <c r="C11" s="2">
        <v>45326</v>
      </c>
      <c r="D11">
        <f>=C11-B11+1</f>
      </c>
      <c r="E11">
        <v>1</v>
      </c>
      <c r="F11">
        <f>=IF(E11&gt;=1,"完成",IF(TODAY()&gt;C11,"延期","进行中"))</f>
      </c>
    </row>
    <row r="12">
      <c r="A12" t="s">
        <v>136</v>
      </c>
      <c r="B12" s="2">
        <v>45322</v>
      </c>
      <c r="C12" s="2">
        <v>45325</v>
      </c>
      <c r="D12">
        <f>=C12-B12+1</f>
      </c>
      <c r="E12">
        <v>0.2</v>
      </c>
      <c r="F12">
        <f>=IF(E12&gt;=1,"完成",IF(TODAY()&gt;C12,"延期","进行中"))</f>
      </c>
    </row>
    <row r="13">
      <c r="A13" t="s">
        <v>137</v>
      </c>
      <c r="B13" s="2">
        <v>45325</v>
      </c>
      <c r="C13" s="2">
        <v>45329</v>
      </c>
      <c r="D13">
        <f>=C13-B13+1</f>
      </c>
      <c r="E13">
        <v>0.4</v>
      </c>
      <c r="F13">
        <f>=IF(E13&gt;=1,"完成",IF(TODAY()&gt;C13,"延期","进行中"))</f>
      </c>
    </row>
    <row r="14">
      <c r="A14" t="s">
        <v>138</v>
      </c>
      <c r="B14" s="2">
        <v>45328</v>
      </c>
      <c r="C14" s="2">
        <v>45333</v>
      </c>
      <c r="D14">
        <f>=C14-B14+1</f>
      </c>
      <c r="E14">
        <v>0.6</v>
      </c>
      <c r="F14">
        <f>=IF(E14&gt;=1,"完成",IF(TODAY()&gt;C14,"延期","进行中"))</f>
      </c>
    </row>
    <row r="15">
      <c r="A15" t="s">
        <v>139</v>
      </c>
      <c r="B15" s="2">
        <v>45331</v>
      </c>
      <c r="C15" s="2">
        <v>45337</v>
      </c>
      <c r="D15">
        <f>=C15-B15+1</f>
      </c>
      <c r="E15">
        <v>0.8</v>
      </c>
      <c r="F15">
        <f>=IF(E15&gt;=1,"完成",IF(TODAY()&gt;C15,"延期","进行中"))</f>
      </c>
    </row>
    <row r="16">
      <c r="A16" t="s">
        <v>140</v>
      </c>
      <c r="B16" s="2">
        <v>45334</v>
      </c>
      <c r="C16" s="2">
        <v>45341</v>
      </c>
      <c r="D16">
        <f>=C16-B16+1</f>
      </c>
      <c r="E16">
        <v>1</v>
      </c>
      <c r="F16">
        <f>=IF(E16&gt;=1,"完成",IF(TODAY()&gt;C16,"延期","进行中"))</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